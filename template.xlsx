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18D5641E-ED76-4AF4-902E-D37AB65198AD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77" l="1"/>
  <c r="F6" i="33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I22" i="9" s="1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<sst xmlns="http://schemas.openxmlformats.org/spreadsheetml/2006/main" count="355" uniqueCount="279">
  <si>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</si>
  <si>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</si>
  <si>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</si>
  <si>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</si>
  <si>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</si>
  <si>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</si>
  <si>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</si>
  <si>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</si>
  <si>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</si>
  <si>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</si>
  <si>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</si>
  <si>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</si>
  <si>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</si>
  <si>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</si>
  <si>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</si>
  <si>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</si>
  <si>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</si>
  <si>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</si>
  <si>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</si>
  <si>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</si>
  <si>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</si>
  <si>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</si>
  <si>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</si>
  <si>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</si>
  <si>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</si>
  <si>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</si>
  <si>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</si>
  <si>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</si>
  <si>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</si>
  <si>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</si>
  <si>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</si>
  <si>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</si>
  <si>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</si>
  <si>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</si>
  <si>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</si>
  <si>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</si>
  <si>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</si>
  <si>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</si>
  <si>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</si>
  <si>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</si>
  <si>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</si>
  <si>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</si>
  <si>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</si>
  <si>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</si>
  <si>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</si>
  <si>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</si>
  <si>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</si>
  <si>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</si>
  <si>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</si>
  <si>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</si>
  <si>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</si>
  <si>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</si>
  <si>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</si>
  <si>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</si>
  <si>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</si>
  <si>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</si>
  <si>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</si>
  <si>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</si>
  <si>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</si>
  <si>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</si>
  <si>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</si>
  <si>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</si>
  <si>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</si>
  <si>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</si>
  <si>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</si>
  <si>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</si>
  <si>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</si>
  <si>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</si>
  <si>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</si>
  <si>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</si>
  <si>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</si>
  <si>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</si>
  <si>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</si>
  <si>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</si>
  <si>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</si>
  <si>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</si>
  <si>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</si>
  <si>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</si>
  <si>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</si>
  <si>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</si>
  <si>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</si>
  <si>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</si>
  <si>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</si>
  <si>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</si>
  <si>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</si>
  <si>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</si>
  <si>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</si>
  <si>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</si>
  <si>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</si>
  <si>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</si>
  <si>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</si>
  <si>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</si>
  <si>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</si>
  <si>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</si>
  <si>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</si>
  <si>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</si>
  <si>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</si>
  <si>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</si>
  <si>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</si>
  <si>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</si>
  <si>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</si>
  <si>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</si>
  <si>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</si>
  <si>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</si>
  <si>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</si>
  <si>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</si>
  <si>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</si>
  <si>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</si>
  <si>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</si>
  <si>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</si>
  <si>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</si>
  <si>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</si>
  <si>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</si>
  <si>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</si>
  <si>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</si>
  <si>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</si>
  <si>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</si>
  <si>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</si>
  <si>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</si>
  <si>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</si>
  <si>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</si>
  <si>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</si>
  <si>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</si>
  <si>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</si>
  <si>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</si>
  <si>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</si>
  <si>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</si>
  <si>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</si>
  <si>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</si>
  <si>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</si>
  <si>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</si>
  <si>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</si>
  <si>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</si>
  <si>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</si>
  <si>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</si>
  <si>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</si>
  <si>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</si>
  <si>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</si>
  <si>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</si>
  <si>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</si>
  <si>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</si>
  <si>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</si>
  <si>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</si>
  <si>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</si>
  <si>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</si>
  <si>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</si>
  <si>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</si>
  <si>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</si>
  <si>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</si>
  <si>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</si>
  <si>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</si>
  <si>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</si>
  <si>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</si>
  <si>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</si>
  <si>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</si>
  <si>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</si>
  <si>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</si>
  <si>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</si>
  <si>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</si>
  <si>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</si>
  <si>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</si>
  <si>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</si>
  <si>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</si>
  <si>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</si>
  <si>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</si>
  <si>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</si>
  <si>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</si>
  <si>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</si>
  <si>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</si>
  <si>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</si>
  <si>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</si>
  <si>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</si>
  <si>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</si>
  <si>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</si>
  <si>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</si>
  <si>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</si>
  <si>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</si>
  <si>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</si>
  <si>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</si>
  <si>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</si>
  <si>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</si>
  <si>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</si>
  <si>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</si>
  <si>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</si>
  <si>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</si>
  <si>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</si>
  <si>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貨櫃清單</t>
    <phoneticPr fontId="3" type="noConversion"/>
  </si>
  <si>
    <t>45G1</t>
  </si>
  <si>
    <t xml:space="preserve">中華民國 </t>
    <phoneticPr fontId="14" type="noConversion"/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</si>
  <si>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</si>
  <si>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</si>
  <si>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</si>
  <si>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</si>
  <si>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</si>
  <si>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</si>
  <si>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</si>
  <si>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</si>
  <si>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</si>
  <si>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</si>
  <si>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</si>
  <si>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</si>
  <si>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</si>
  <si>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</si>
  <si>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</si>
  <si>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</si>
  <si>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</si>
  <si>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</si>
  <si>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</si>
  <si>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</si>
  <si>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</si>
  <si>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</si>
  <si>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</si>
  <si>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</si>
  <si>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</si>
  <si>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</si>
  <si>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</si>
  <si>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</si>
  <si>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</si>
  <si>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</si>
  <si>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</si>
  <si>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</si>
  <si>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</si>
  <si>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</si>
  <si>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</si>
  <si>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</si>
  <si>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</si>
  <si>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</si>
  <si>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</si>
  <si>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</si>
  <si>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</si>
  <si>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</si>
  <si>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</si>
  <si>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</si>
  <si>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</si>
  <si>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</si>
  <si>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</si>
  <si>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</si>
  <si>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</si>
  <si>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</si>
  <si>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</si>
  <si>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</si>
  <si>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</si>
  <si>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</si>
  <si>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</si>
  <si>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</si>
  <si>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</si>
  <si>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</si>
  <si>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</si>
  <si>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</si>
  <si>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</si>
  <si>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</si>
  <si>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</si>
  <si>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</si>
  <si>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</si>
  <si>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</si>
  <si>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</si>
  <si>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</si>
  <si>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</si>
  <si>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</si>
  <si>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</si>
  <si>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</si>
  <si>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</si>
  <si>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</si>
  <si>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</si>
  <si>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</si>
  <si>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</si>
  <si>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</si>
  <si>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</si>
  <si>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</si>
  <si>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</si>
  <si>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</si>
  <si>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</si>
  <si>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</si>
  <si>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</si>
  <si>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</si>
  <si>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</si>
  <si>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</si>
  <si>
    <t>SAME AS CONSIGNEE</t>
    <phoneticPr fontId="3" type="noConversion"/>
  </si>
  <si>
    <t>EXPRESS PACKAGE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</si>
</sst>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77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81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176" fontId="46" fillId="0" borderId="17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1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readingOrder="1"/>
    </xf>
    <xf numFmtId="0" fontId="72" fillId="0" borderId="0" xfId="0" applyFont="1" applyAlignment="1">
      <alignment horizontal="center" vertical="center"/>
    </xf>
    <xf numFmtId="0" fontId="73" fillId="0" borderId="9" xfId="0" applyFont="1" applyBorder="1" applyAlignment="1">
      <alignment horizontal="left" vertical="center"/>
    </xf>
    <xf numFmtId="0" fontId="75" fillId="0" borderId="0" xfId="0" applyFont="1" applyAlignment="1">
      <alignment horizontal="center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/>
    </xf>
    <xf numFmtId="0" fontId="25" fillId="0" borderId="32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  <xf numFmtId="0" fontId="47" fillId="0" borderId="0" xfId="0" applyFont="1" applyFill="1" applyAlignment="1">
      <alignment vertical="center" wrapText="1"/>
    </xf>
    <xf numFmtId="0" fontId="47" fillId="0" borderId="0" xfId="0" applyFont="1" applyAlignment="1">
      <alignment vertical="center" wrapText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228</v>
      </c>
      <c r="B6" s="94" t="s">
        <v>256</v>
      </c>
    </row>
    <row r="7" spans="1:6">
      <c r="A7" t="s">
        <v>229</v>
      </c>
      <c r="B7" s="111">
        <v>260727</v>
      </c>
    </row>
    <row r="8" spans="1:6">
      <c r="A8" t="s">
        <v>230</v>
      </c>
      <c r="B8" s="94" t="s">
        <v>257</v>
      </c>
    </row>
    <row r="9" spans="1:6">
      <c r="A9" t="s">
        <v>231</v>
      </c>
      <c r="B9" s="94" t="s">
        <v>258</v>
      </c>
    </row>
    <row r="10" spans="1:6">
      <c r="A10" t="s">
        <v>109</v>
      </c>
      <c r="B10" s="94" t="s">
        <v>259</v>
      </c>
    </row>
    <row r="11" spans="1:6">
      <c r="A11" t="s">
        <v>232</v>
      </c>
      <c r="B11" s="110" t="s">
        <v>260</v>
      </c>
    </row>
    <row r="12" spans="1:6">
      <c r="A12" t="s">
        <v>233</v>
      </c>
      <c r="B12" s="112" t="s">
        <v>261</v>
      </c>
    </row>
    <row r="13" spans="1:6">
      <c r="A13" t="s">
        <v>234</v>
      </c>
      <c r="B13" s="112" t="s">
        <v>261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55" t="s">
        <v>35</v>
      </c>
      <c r="B1" s="256"/>
      <c r="C1" s="257"/>
      <c r="D1" s="244" t="s">
        <v>193</v>
      </c>
      <c r="E1" s="244"/>
      <c r="F1" s="244" t="s">
        <v>194</v>
      </c>
      <c r="G1" s="244"/>
      <c r="H1" s="232" t="s">
        <v>195</v>
      </c>
      <c r="I1" s="233"/>
      <c r="J1" s="244" t="s">
        <v>196</v>
      </c>
      <c r="K1" s="244"/>
      <c r="L1" s="232" t="s">
        <v>197</v>
      </c>
      <c r="M1" s="245"/>
      <c r="N1" s="233"/>
      <c r="O1" s="186"/>
      <c r="P1" s="186"/>
      <c r="Q1" s="131"/>
      <c r="R1" s="131"/>
      <c r="S1" s="187"/>
      <c r="T1" s="187"/>
      <c r="U1" s="180"/>
    </row>
    <row r="2" spans="1:27" ht="17.25" customHeight="1">
      <c r="A2" s="258"/>
      <c r="B2" s="259"/>
      <c r="C2" s="260"/>
      <c r="D2" s="229" t="s">
        <v>198</v>
      </c>
      <c r="E2" s="231"/>
      <c r="F2" s="246" t="s">
        <v>199</v>
      </c>
      <c r="G2" s="247"/>
      <c r="H2" s="226" t="s">
        <v>200</v>
      </c>
      <c r="I2" s="228"/>
      <c r="J2" s="226" t="s">
        <v>201</v>
      </c>
      <c r="K2" s="228"/>
      <c r="L2" s="226" t="s">
        <v>202</v>
      </c>
      <c r="M2" s="227"/>
      <c r="N2" s="228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69" t="str">
        <f>建船資料檔!B6</f>
        <v>輯薪輪</v>
      </c>
      <c r="E3" s="270"/>
      <c r="F3" s="261">
        <f>建船資料檔!B7</f>
        <v>260727</v>
      </c>
      <c r="G3" s="262"/>
      <c r="H3" s="291" t="str">
        <f>建船資料檔!B8</f>
        <v xml:space="preserve">BP3379 </v>
      </c>
      <c r="I3" s="292"/>
      <c r="J3" s="296" t="str">
        <f>建船資料檔!B9</f>
        <v>姜大炎</v>
      </c>
      <c r="K3" s="297"/>
      <c r="L3" s="293" t="str">
        <f>建船資料檔!B10</f>
        <v>15PAHD</v>
      </c>
      <c r="M3" s="294"/>
      <c r="N3" s="295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63" t="s">
        <v>36</v>
      </c>
      <c r="B4" s="264"/>
      <c r="C4" s="265"/>
      <c r="D4" s="232" t="s">
        <v>203</v>
      </c>
      <c r="E4" s="233"/>
      <c r="F4" s="232" t="s">
        <v>204</v>
      </c>
      <c r="G4" s="233"/>
      <c r="H4" s="232" t="s">
        <v>205</v>
      </c>
      <c r="I4" s="233"/>
      <c r="J4" s="232" t="s">
        <v>206</v>
      </c>
      <c r="K4" s="233"/>
      <c r="L4" s="232" t="s">
        <v>207</v>
      </c>
      <c r="M4" s="245"/>
      <c r="N4" s="233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29" t="s">
        <v>275</v>
      </c>
      <c r="B5" s="230"/>
      <c r="C5" s="231"/>
      <c r="D5" s="226" t="s">
        <v>208</v>
      </c>
      <c r="E5" s="228"/>
      <c r="F5" s="226" t="s">
        <v>209</v>
      </c>
      <c r="G5" s="228"/>
      <c r="H5" s="226" t="s">
        <v>210</v>
      </c>
      <c r="I5" s="228"/>
      <c r="J5" s="226" t="s">
        <v>211</v>
      </c>
      <c r="K5" s="228"/>
      <c r="L5" s="226" t="s">
        <v>212</v>
      </c>
      <c r="M5" s="227"/>
      <c r="N5" s="228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26" t="s">
        <v>37</v>
      </c>
      <c r="B6" s="227"/>
      <c r="C6" s="228"/>
      <c r="D6" s="261" t="s">
        <v>188</v>
      </c>
      <c r="E6" s="262"/>
      <c r="F6" s="269" t="str">
        <f>建船資料檔!B11</f>
        <v>1486/445</v>
      </c>
      <c r="G6" s="270"/>
      <c r="H6" s="261" t="s">
        <v>213</v>
      </c>
      <c r="I6" s="262"/>
      <c r="J6" s="271" t="str">
        <f>建船資料檔!B12</f>
        <v>115/7/27</v>
      </c>
      <c r="K6" s="272"/>
      <c r="L6" s="271" t="str">
        <f>J6</f>
        <v>115/7/27</v>
      </c>
      <c r="M6" s="273"/>
      <c r="N6" s="272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20"/>
      <c r="Z6" s="220"/>
      <c r="AA6" s="78"/>
    </row>
    <row r="7" spans="1:27">
      <c r="A7" s="229" t="s">
        <v>38</v>
      </c>
      <c r="B7" s="230"/>
      <c r="C7" s="231"/>
      <c r="D7" s="232" t="s">
        <v>39</v>
      </c>
      <c r="E7" s="233"/>
      <c r="F7" s="232" t="s">
        <v>40</v>
      </c>
      <c r="G7" s="233"/>
      <c r="H7" s="232" t="s">
        <v>41</v>
      </c>
      <c r="I7" s="233"/>
      <c r="J7" s="232" t="s">
        <v>42</v>
      </c>
      <c r="K7" s="233"/>
      <c r="L7" s="232" t="s">
        <v>43</v>
      </c>
      <c r="M7" s="233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26" t="s">
        <v>45</v>
      </c>
      <c r="B8" s="227"/>
      <c r="C8" s="228"/>
      <c r="D8" s="226" t="s">
        <v>46</v>
      </c>
      <c r="E8" s="228"/>
      <c r="F8" s="226" t="s">
        <v>47</v>
      </c>
      <c r="G8" s="228"/>
      <c r="H8" s="229"/>
      <c r="I8" s="231"/>
      <c r="J8" s="226" t="s">
        <v>48</v>
      </c>
      <c r="K8" s="228"/>
      <c r="L8" s="229" t="s">
        <v>49</v>
      </c>
      <c r="M8" s="231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20"/>
      <c r="Z8" s="220"/>
    </row>
    <row r="9" spans="1:27">
      <c r="A9" s="278" t="s">
        <v>152</v>
      </c>
      <c r="B9" s="279"/>
      <c r="C9" s="280"/>
      <c r="D9" s="269" t="s">
        <v>225</v>
      </c>
      <c r="E9" s="270"/>
      <c r="F9" s="271"/>
      <c r="G9" s="272"/>
      <c r="H9" s="277"/>
      <c r="I9" s="262"/>
      <c r="J9" s="261"/>
      <c r="K9" s="262"/>
      <c r="L9" s="261" t="s">
        <v>51</v>
      </c>
      <c r="M9" s="262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53" t="s">
        <v>53</v>
      </c>
      <c r="D10" s="254"/>
      <c r="E10" s="203" t="s">
        <v>54</v>
      </c>
      <c r="F10" s="224" t="s">
        <v>55</v>
      </c>
      <c r="G10" s="225"/>
      <c r="H10" s="170" t="s">
        <v>56</v>
      </c>
      <c r="I10" s="253" t="s">
        <v>57</v>
      </c>
      <c r="J10" s="254"/>
      <c r="K10" s="283" t="s">
        <v>58</v>
      </c>
      <c r="L10" s="284"/>
      <c r="M10" s="285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34" t="s">
        <v>62</v>
      </c>
      <c r="D11" s="235"/>
      <c r="E11" s="83" t="s">
        <v>63</v>
      </c>
      <c r="F11" s="289" t="s">
        <v>64</v>
      </c>
      <c r="G11" s="290"/>
      <c r="H11" s="173" t="s">
        <v>65</v>
      </c>
      <c r="I11" s="234" t="s">
        <v>66</v>
      </c>
      <c r="J11" s="235"/>
      <c r="K11" s="274" t="s">
        <v>67</v>
      </c>
      <c r="L11" s="275"/>
      <c r="M11" s="276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34" t="s">
        <v>71</v>
      </c>
      <c r="D12" s="235"/>
      <c r="E12" s="85" t="s">
        <v>72</v>
      </c>
      <c r="F12" s="224" t="s">
        <v>73</v>
      </c>
      <c r="G12" s="225"/>
      <c r="H12" s="173" t="s">
        <v>74</v>
      </c>
      <c r="I12" s="248" t="s">
        <v>75</v>
      </c>
      <c r="J12" s="249"/>
      <c r="K12" s="286" t="s">
        <v>76</v>
      </c>
      <c r="L12" s="287"/>
      <c r="M12" s="288"/>
      <c r="N12" s="175" t="s">
        <v>226</v>
      </c>
      <c r="O12" s="158"/>
      <c r="P12" s="154"/>
      <c r="Q12" s="147"/>
      <c r="R12" s="147"/>
      <c r="S12" s="147"/>
      <c r="T12" s="147"/>
    </row>
    <row r="13" spans="1:27">
      <c r="A13" s="172" t="s">
        <v>227</v>
      </c>
      <c r="B13" s="173" t="s">
        <v>77</v>
      </c>
      <c r="C13" s="234" t="s">
        <v>78</v>
      </c>
      <c r="D13" s="235"/>
      <c r="E13" s="204"/>
      <c r="F13" s="289" t="s">
        <v>79</v>
      </c>
      <c r="G13" s="290"/>
      <c r="H13" s="173" t="s">
        <v>80</v>
      </c>
      <c r="I13" s="248" t="s">
        <v>81</v>
      </c>
      <c r="J13" s="249"/>
      <c r="K13" s="250"/>
      <c r="L13" s="251"/>
      <c r="M13" s="252"/>
      <c r="N13" s="173" t="s">
        <v>82</v>
      </c>
    </row>
    <row r="14" spans="1:27">
      <c r="A14" s="173" t="s">
        <v>83</v>
      </c>
      <c r="B14" s="173" t="s">
        <v>70</v>
      </c>
      <c r="C14" s="234" t="s">
        <v>84</v>
      </c>
      <c r="D14" s="235"/>
      <c r="E14" s="84"/>
      <c r="F14" s="224" t="s">
        <v>85</v>
      </c>
      <c r="G14" s="225"/>
      <c r="H14" s="173" t="s">
        <v>86</v>
      </c>
      <c r="I14" s="248" t="s">
        <v>87</v>
      </c>
      <c r="J14" s="249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22" t="s">
        <v>91</v>
      </c>
      <c r="D15" s="223"/>
      <c r="E15" s="90"/>
      <c r="F15" s="224" t="s">
        <v>92</v>
      </c>
      <c r="G15" s="225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262</v>
      </c>
      <c r="B16" s="206" t="s">
        <v>252</v>
      </c>
      <c r="C16" s="207">
        <v>1599</v>
      </c>
      <c r="D16" s="208" t="s">
        <v>33</v>
      </c>
      <c r="E16" s="210" t="s">
        <v>263</v>
      </c>
      <c r="F16" s="281" t="str">
        <f>T16&amp;"  "&amp;E16&amp;"/"&amp;U16&amp;"/"&amp;V16&amp;"/"&amp;P16</f>
        <v>EXPRESS PACKAGE  TCNU9125529/45G1/2/200405</v>
      </c>
      <c r="G16" s="282"/>
      <c r="H16" s="127" t="s">
        <v>265</v>
      </c>
      <c r="I16" s="95">
        <v>7137</v>
      </c>
      <c r="J16" s="96" t="s">
        <v>235</v>
      </c>
      <c r="K16" s="266" t="s">
        <v>266</v>
      </c>
      <c r="L16" s="267"/>
      <c r="M16" s="268"/>
      <c r="N16" s="149" t="s">
        <v>95</v>
      </c>
      <c r="O16" s="150" t="s">
        <v>267</v>
      </c>
      <c r="P16" s="196">
        <v>200405</v>
      </c>
      <c r="Q16" s="479" t="s">
        <v>277</v>
      </c>
      <c r="R16" s="116">
        <v>24951752</v>
      </c>
      <c r="S16" s="116" t="s">
        <v>244</v>
      </c>
      <c r="T16" s="480" t="s">
        <v>278</v>
      </c>
      <c r="U16" s="184" t="s">
        <v>187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37"/>
      <c r="G17" s="238"/>
      <c r="H17" s="212"/>
      <c r="I17" s="239">
        <f>SUM(I16:J16)</f>
        <v>7137</v>
      </c>
      <c r="J17" s="240"/>
      <c r="K17" s="241"/>
      <c r="L17" s="242"/>
      <c r="M17" s="243"/>
      <c r="N17" s="211"/>
      <c r="T17" s="73"/>
      <c r="U17" s="184"/>
      <c r="V17" s="184"/>
    </row>
    <row r="18" spans="1:22">
      <c r="A18" s="221" t="s">
        <v>97</v>
      </c>
      <c r="B18" s="221"/>
      <c r="H18" s="221"/>
      <c r="I18" s="221"/>
      <c r="J18" s="221"/>
      <c r="K18" s="221"/>
    </row>
    <row r="19" spans="1:22">
      <c r="A19" s="236" t="s">
        <v>98</v>
      </c>
      <c r="B19" s="236"/>
      <c r="H19" s="236" t="s">
        <v>99</v>
      </c>
      <c r="I19" s="236"/>
      <c r="J19" s="236"/>
      <c r="K19" s="236"/>
    </row>
    <row r="21" spans="1:22">
      <c r="G21" s="79"/>
    </row>
  </sheetData>
  <mergeCells count="84">
    <mergeCell ref="L3:N3"/>
    <mergeCell ref="J3:K3"/>
    <mergeCell ref="C13:D13"/>
    <mergeCell ref="F13:G13"/>
    <mergeCell ref="D3:E3"/>
    <mergeCell ref="F3:G3"/>
    <mergeCell ref="H3:I3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I12:J12"/>
    <mergeCell ref="I11:J11"/>
    <mergeCell ref="F9:G9"/>
    <mergeCell ref="H9:I9"/>
    <mergeCell ref="A9:C9"/>
    <mergeCell ref="D9:E9"/>
    <mergeCell ref="C11:D11"/>
    <mergeCell ref="L6:N6"/>
    <mergeCell ref="K11:M11"/>
    <mergeCell ref="F10:G10"/>
    <mergeCell ref="I10:J10"/>
    <mergeCell ref="J8:K8"/>
    <mergeCell ref="L8:M8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F6:G6"/>
    <mergeCell ref="H6:I6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9:B19"/>
    <mergeCell ref="H19:K19"/>
    <mergeCell ref="F17:G17"/>
    <mergeCell ref="I17:J17"/>
    <mergeCell ref="K17:M17"/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K16:M16"/>
    <mergeCell ref="J6:K6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K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223</v>
      </c>
      <c r="B1" s="50"/>
      <c r="C1" s="51"/>
      <c r="D1" s="50"/>
      <c r="E1" s="50"/>
      <c r="F1" s="50"/>
    </row>
    <row r="2" spans="1:12">
      <c r="A2" s="97" t="s">
        <v>214</v>
      </c>
      <c r="B2" s="53" t="s">
        <v>215</v>
      </c>
      <c r="C2" s="54" t="s">
        <v>216</v>
      </c>
      <c r="D2" s="54" t="s">
        <v>217</v>
      </c>
      <c r="E2" s="55" t="s">
        <v>218</v>
      </c>
      <c r="F2" s="54" t="s">
        <v>219</v>
      </c>
      <c r="G2" s="54" t="s">
        <v>220</v>
      </c>
      <c r="H2" s="54" t="s">
        <v>221</v>
      </c>
      <c r="I2" s="56" t="s">
        <v>222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ESN500</v>
      </c>
      <c r="F3" s="119" t="s">
        <v>249</v>
      </c>
      <c r="G3" s="120" t="s">
        <v>268</v>
      </c>
      <c r="H3" s="119" t="s">
        <v>250</v>
      </c>
      <c r="I3" s="121" t="s">
        <v>246</v>
      </c>
      <c r="J3" s="107" t="str">
        <f>IF(進口艙單印1份!U16="45G1","40HQ","")</f>
        <v>40HQ</v>
      </c>
      <c r="K3" s="108">
        <f>進口艙單印1份!P16</f>
        <v>200405</v>
      </c>
      <c r="L3" s="109">
        <f>進口艙單印1份!I16</f>
        <v>7137</v>
      </c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44" t="s">
        <v>100</v>
      </c>
      <c r="D1" s="344"/>
      <c r="E1" s="344"/>
      <c r="F1" s="344"/>
      <c r="G1" s="344"/>
      <c r="H1" s="344"/>
    </row>
    <row r="2" spans="1:10">
      <c r="C2" s="344"/>
      <c r="D2" s="344"/>
      <c r="E2" s="344"/>
      <c r="F2" s="344"/>
      <c r="G2" s="344"/>
      <c r="H2" s="344"/>
    </row>
    <row r="3" spans="1:10" ht="18" customHeight="1">
      <c r="A3" s="345" t="s">
        <v>101</v>
      </c>
      <c r="B3" s="346"/>
      <c r="H3" s="124" t="s">
        <v>251</v>
      </c>
      <c r="I3" s="126">
        <v>115</v>
      </c>
      <c r="J3" s="142"/>
    </row>
    <row r="4" spans="1:10" ht="15" customHeight="1">
      <c r="A4" s="322" t="s">
        <v>102</v>
      </c>
      <c r="B4" s="323"/>
      <c r="C4" s="347" t="s">
        <v>103</v>
      </c>
      <c r="D4" s="348"/>
      <c r="E4" s="348"/>
      <c r="F4" s="349"/>
      <c r="G4" s="191">
        <v>1312450</v>
      </c>
      <c r="H4" s="300" t="s">
        <v>104</v>
      </c>
      <c r="I4" s="298" t="str">
        <f>建船資料檔!B13</f>
        <v>115/7/27</v>
      </c>
      <c r="J4" s="161"/>
    </row>
    <row r="5" spans="1:10" ht="15" customHeight="1">
      <c r="A5" s="326"/>
      <c r="B5" s="327"/>
      <c r="C5" s="350"/>
      <c r="D5" s="351"/>
      <c r="E5" s="351"/>
      <c r="F5" s="352"/>
      <c r="G5" s="215"/>
      <c r="H5" s="302"/>
      <c r="I5" s="299"/>
      <c r="J5" s="161"/>
    </row>
    <row r="6" spans="1:10" ht="15" customHeight="1">
      <c r="A6" s="310" t="s">
        <v>105</v>
      </c>
      <c r="B6" s="311"/>
      <c r="C6" s="316" t="s">
        <v>264</v>
      </c>
      <c r="D6" s="317"/>
      <c r="E6" s="322" t="s">
        <v>106</v>
      </c>
      <c r="F6" s="323"/>
      <c r="G6" s="328" t="str">
        <f>進口艙單印1份!L3</f>
        <v>15PAHD</v>
      </c>
      <c r="H6" s="300" t="s">
        <v>107</v>
      </c>
      <c r="I6" s="300" t="s">
        <v>108</v>
      </c>
      <c r="J6" s="162"/>
    </row>
    <row r="7" spans="1:10" ht="15" customHeight="1">
      <c r="A7" s="312"/>
      <c r="B7" s="313"/>
      <c r="C7" s="318"/>
      <c r="D7" s="319"/>
      <c r="E7" s="324"/>
      <c r="F7" s="325"/>
      <c r="G7" s="329"/>
      <c r="H7" s="301"/>
      <c r="I7" s="301"/>
      <c r="J7" s="162"/>
    </row>
    <row r="8" spans="1:10" ht="15" customHeight="1">
      <c r="A8" s="312"/>
      <c r="B8" s="313"/>
      <c r="C8" s="318"/>
      <c r="D8" s="319"/>
      <c r="E8" s="324"/>
      <c r="F8" s="325"/>
      <c r="G8" s="329"/>
      <c r="H8" s="301"/>
      <c r="I8" s="301"/>
      <c r="J8" s="162"/>
    </row>
    <row r="9" spans="1:10" ht="15" customHeight="1">
      <c r="A9" s="314"/>
      <c r="B9" s="315"/>
      <c r="C9" s="320"/>
      <c r="D9" s="321"/>
      <c r="E9" s="326"/>
      <c r="F9" s="327"/>
      <c r="G9" s="330"/>
      <c r="H9" s="302"/>
      <c r="I9" s="302"/>
      <c r="J9" s="162"/>
    </row>
    <row r="10" spans="1:10" ht="15" customHeight="1">
      <c r="A10" s="310" t="s">
        <v>110</v>
      </c>
      <c r="B10" s="311"/>
      <c r="C10" s="343" t="s">
        <v>247</v>
      </c>
      <c r="D10" s="317"/>
      <c r="E10" s="133" t="s">
        <v>111</v>
      </c>
      <c r="F10" s="134"/>
      <c r="G10" s="362" t="str">
        <f>I4</f>
        <v>115/7/27</v>
      </c>
      <c r="H10" s="300" t="s">
        <v>112</v>
      </c>
      <c r="I10" s="300" t="s">
        <v>113</v>
      </c>
      <c r="J10" s="162"/>
    </row>
    <row r="11" spans="1:10" ht="15" customHeight="1">
      <c r="A11" s="312"/>
      <c r="B11" s="313"/>
      <c r="C11" s="318"/>
      <c r="D11" s="319"/>
      <c r="E11" s="324" t="s">
        <v>134</v>
      </c>
      <c r="F11" s="325"/>
      <c r="G11" s="363"/>
      <c r="H11" s="301"/>
      <c r="I11" s="301"/>
      <c r="J11" s="162"/>
    </row>
    <row r="12" spans="1:10" ht="15" customHeight="1">
      <c r="A12" s="312"/>
      <c r="B12" s="313"/>
      <c r="C12" s="318"/>
      <c r="D12" s="319"/>
      <c r="E12" s="324"/>
      <c r="F12" s="325"/>
      <c r="G12" s="363"/>
      <c r="H12" s="301"/>
      <c r="I12" s="301"/>
      <c r="J12" s="162"/>
    </row>
    <row r="13" spans="1:10" ht="15" customHeight="1">
      <c r="A13" s="314"/>
      <c r="B13" s="315"/>
      <c r="C13" s="320"/>
      <c r="D13" s="321"/>
      <c r="E13" s="135" t="s">
        <v>114</v>
      </c>
      <c r="F13" s="136"/>
      <c r="G13" s="299"/>
      <c r="H13" s="302"/>
      <c r="I13" s="302"/>
      <c r="J13" s="162"/>
    </row>
    <row r="14" spans="1:10" ht="18" customHeight="1">
      <c r="A14" s="331" t="s">
        <v>115</v>
      </c>
      <c r="B14" s="334" t="s">
        <v>116</v>
      </c>
      <c r="C14" s="133" t="s">
        <v>117</v>
      </c>
      <c r="D14" s="134"/>
      <c r="E14" s="337" t="s">
        <v>243</v>
      </c>
      <c r="F14" s="338"/>
      <c r="G14" s="353" t="s">
        <v>236</v>
      </c>
      <c r="H14" s="354"/>
      <c r="I14" s="355"/>
      <c r="J14" s="151"/>
    </row>
    <row r="15" spans="1:10" ht="18" customHeight="1">
      <c r="A15" s="332"/>
      <c r="B15" s="335"/>
      <c r="C15" s="138" t="s">
        <v>118</v>
      </c>
      <c r="D15" s="139"/>
      <c r="E15" s="339"/>
      <c r="F15" s="340"/>
      <c r="G15" s="356" t="s">
        <v>237</v>
      </c>
      <c r="H15" s="357"/>
      <c r="I15" s="358"/>
      <c r="J15" s="151"/>
    </row>
    <row r="16" spans="1:10" ht="18" customHeight="1">
      <c r="A16" s="332"/>
      <c r="B16" s="335"/>
      <c r="C16" s="138" t="s">
        <v>119</v>
      </c>
      <c r="D16" s="139"/>
      <c r="E16" s="339"/>
      <c r="F16" s="340"/>
      <c r="G16" s="356" t="s">
        <v>238</v>
      </c>
      <c r="H16" s="357"/>
      <c r="I16" s="358"/>
      <c r="J16" s="151"/>
    </row>
    <row r="17" spans="1:12" ht="18" customHeight="1">
      <c r="A17" s="332"/>
      <c r="B17" s="335"/>
      <c r="C17" s="138" t="s">
        <v>120</v>
      </c>
      <c r="D17" s="139"/>
      <c r="E17" s="339"/>
      <c r="F17" s="340"/>
      <c r="G17" s="356" t="s">
        <v>239</v>
      </c>
      <c r="H17" s="357"/>
      <c r="I17" s="358"/>
      <c r="J17" s="151"/>
      <c r="L17" s="12"/>
    </row>
    <row r="18" spans="1:12" ht="18" customHeight="1">
      <c r="A18" s="332"/>
      <c r="B18" s="335"/>
      <c r="C18" s="138" t="s">
        <v>121</v>
      </c>
      <c r="D18" s="139"/>
      <c r="E18" s="339"/>
      <c r="F18" s="340"/>
      <c r="G18" s="356" t="s">
        <v>240</v>
      </c>
      <c r="H18" s="357"/>
      <c r="I18" s="358"/>
      <c r="J18" s="151"/>
    </row>
    <row r="19" spans="1:12" ht="18" customHeight="1">
      <c r="A19" s="333"/>
      <c r="B19" s="336"/>
      <c r="C19" s="135"/>
      <c r="D19" s="136"/>
      <c r="E19" s="341"/>
      <c r="F19" s="342"/>
      <c r="G19" s="359" t="s">
        <v>245</v>
      </c>
      <c r="H19" s="360"/>
      <c r="I19" s="361"/>
      <c r="J19" s="151"/>
    </row>
    <row r="20" spans="1:12" ht="18" customHeight="1">
      <c r="A20" s="367" t="s">
        <v>122</v>
      </c>
      <c r="B20" s="368"/>
      <c r="C20" s="322" t="s">
        <v>123</v>
      </c>
      <c r="D20" s="369"/>
      <c r="E20" s="323"/>
      <c r="F20" s="322" t="s">
        <v>190</v>
      </c>
      <c r="G20" s="323"/>
      <c r="H20" s="373" t="s">
        <v>189</v>
      </c>
      <c r="I20" s="300" t="s">
        <v>143</v>
      </c>
      <c r="J20" s="162"/>
    </row>
    <row r="21" spans="1:12" ht="18" customHeight="1">
      <c r="A21" s="371" t="s">
        <v>124</v>
      </c>
      <c r="B21" s="372"/>
      <c r="C21" s="326"/>
      <c r="D21" s="370"/>
      <c r="E21" s="327"/>
      <c r="F21" s="326"/>
      <c r="G21" s="327"/>
      <c r="H21" s="374"/>
      <c r="I21" s="302"/>
      <c r="J21" s="162"/>
    </row>
    <row r="22" spans="1:12" s="45" customFormat="1" ht="21" customHeight="1">
      <c r="A22" s="305" t="str">
        <f>進口艙單印1份!B16</f>
        <v>5501</v>
      </c>
      <c r="B22" s="306"/>
      <c r="C22" s="307" t="str">
        <f>進口艙單印1份!T16</f>
        <v>EXPRESS PACKAGE</v>
      </c>
      <c r="D22" s="308"/>
      <c r="E22" s="309"/>
      <c r="F22" s="303" t="str">
        <f>進口艙單印1份!C16&amp;進口艙單印1份!D16</f>
        <v>1599PKG</v>
      </c>
      <c r="G22" s="304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364" t="s">
        <v>125</v>
      </c>
      <c r="B23" s="365"/>
      <c r="C23" s="365"/>
      <c r="D23" s="365"/>
      <c r="E23" s="365"/>
      <c r="F23" s="365"/>
      <c r="G23" s="365"/>
      <c r="H23" s="366"/>
      <c r="I23" s="159" t="s">
        <v>241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242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A23:H23"/>
    <mergeCell ref="A20:B20"/>
    <mergeCell ref="C20:E21"/>
    <mergeCell ref="A21:B21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C1:H2"/>
    <mergeCell ref="A3:B3"/>
    <mergeCell ref="A4:B5"/>
    <mergeCell ref="C4:F5"/>
    <mergeCell ref="H4:H5"/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44" t="s">
        <v>126</v>
      </c>
      <c r="D1" s="344"/>
      <c r="E1" s="344"/>
      <c r="F1" s="344"/>
      <c r="G1" s="344"/>
      <c r="H1" s="344"/>
    </row>
    <row r="2" spans="1:11">
      <c r="C2" s="344"/>
      <c r="D2" s="344"/>
      <c r="E2" s="344"/>
      <c r="F2" s="344"/>
      <c r="G2" s="344"/>
      <c r="H2" s="344"/>
    </row>
    <row r="3" spans="1:11" ht="18" customHeight="1">
      <c r="A3" s="400" t="s">
        <v>127</v>
      </c>
      <c r="B3" s="400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22" t="s">
        <v>102</v>
      </c>
      <c r="B4" s="323"/>
      <c r="C4" s="347" t="str">
        <f>'准單(紅紙)-2份'!C4:F5</f>
        <v>新銳船務代理有限公司</v>
      </c>
      <c r="D4" s="389"/>
      <c r="E4" s="389"/>
      <c r="F4" s="390"/>
      <c r="G4" s="191">
        <v>1312450</v>
      </c>
      <c r="H4" s="300" t="s">
        <v>128</v>
      </c>
      <c r="I4" s="298" t="str">
        <f>'准單(紅紙)-2份'!I4:J5</f>
        <v>115/7/27</v>
      </c>
      <c r="J4" s="18"/>
    </row>
    <row r="5" spans="1:11" ht="15" customHeight="1">
      <c r="A5" s="326"/>
      <c r="B5" s="327"/>
      <c r="C5" s="391"/>
      <c r="D5" s="392"/>
      <c r="E5" s="392"/>
      <c r="F5" s="393"/>
      <c r="G5" s="215"/>
      <c r="H5" s="302"/>
      <c r="I5" s="299"/>
      <c r="J5" s="18"/>
    </row>
    <row r="6" spans="1:11" ht="15" customHeight="1">
      <c r="A6" s="310" t="s">
        <v>129</v>
      </c>
      <c r="B6" s="311"/>
      <c r="C6" s="394" t="str">
        <f>'准單(紅紙)-2份'!C6:D9</f>
        <v>大佑輪</v>
      </c>
      <c r="D6" s="395"/>
      <c r="E6" s="322" t="s">
        <v>106</v>
      </c>
      <c r="F6" s="323"/>
      <c r="G6" s="328" t="str">
        <f>'准單(紅紙)-2份'!G6:G9</f>
        <v>15PAHD</v>
      </c>
      <c r="H6" s="300" t="s">
        <v>130</v>
      </c>
      <c r="I6" s="300" t="s">
        <v>131</v>
      </c>
      <c r="J6" s="19"/>
    </row>
    <row r="7" spans="1:11" ht="15" customHeight="1">
      <c r="A7" s="312"/>
      <c r="B7" s="313"/>
      <c r="C7" s="396"/>
      <c r="D7" s="397"/>
      <c r="E7" s="324"/>
      <c r="F7" s="325"/>
      <c r="G7" s="329"/>
      <c r="H7" s="301"/>
      <c r="I7" s="301"/>
      <c r="J7" s="19"/>
    </row>
    <row r="8" spans="1:11" ht="15" customHeight="1">
      <c r="A8" s="312"/>
      <c r="B8" s="313"/>
      <c r="C8" s="396"/>
      <c r="D8" s="397"/>
      <c r="E8" s="324"/>
      <c r="F8" s="325"/>
      <c r="G8" s="329"/>
      <c r="H8" s="301"/>
      <c r="I8" s="301"/>
      <c r="J8" s="19"/>
    </row>
    <row r="9" spans="1:11" ht="15" customHeight="1">
      <c r="A9" s="314"/>
      <c r="B9" s="315"/>
      <c r="C9" s="398"/>
      <c r="D9" s="399"/>
      <c r="E9" s="326"/>
      <c r="F9" s="327"/>
      <c r="G9" s="330"/>
      <c r="H9" s="302"/>
      <c r="I9" s="302"/>
      <c r="J9" s="19"/>
    </row>
    <row r="10" spans="1:11" ht="15" customHeight="1">
      <c r="A10" s="310" t="s">
        <v>110</v>
      </c>
      <c r="B10" s="311"/>
      <c r="C10" s="322" t="str">
        <f>'准單(紅紙)-2份'!C10:D13</f>
        <v>KHH0638S</v>
      </c>
      <c r="D10" s="323"/>
      <c r="E10" s="133" t="s">
        <v>111</v>
      </c>
      <c r="F10" s="134"/>
      <c r="G10" s="298" t="str">
        <f>I4</f>
        <v>115/7/27</v>
      </c>
      <c r="H10" s="300" t="s">
        <v>132</v>
      </c>
      <c r="I10" s="300" t="s">
        <v>133</v>
      </c>
      <c r="J10" s="138"/>
      <c r="K10" s="144"/>
    </row>
    <row r="11" spans="1:11" ht="15" customHeight="1">
      <c r="A11" s="312"/>
      <c r="B11" s="313"/>
      <c r="C11" s="324"/>
      <c r="D11" s="325"/>
      <c r="E11" s="324" t="s">
        <v>134</v>
      </c>
      <c r="F11" s="325"/>
      <c r="G11" s="363"/>
      <c r="H11" s="301"/>
      <c r="I11" s="301"/>
      <c r="J11" s="138"/>
      <c r="K11" s="144"/>
    </row>
    <row r="12" spans="1:11" ht="15" customHeight="1">
      <c r="A12" s="312"/>
      <c r="B12" s="313"/>
      <c r="C12" s="324"/>
      <c r="D12" s="325"/>
      <c r="E12" s="324"/>
      <c r="F12" s="325"/>
      <c r="G12" s="363"/>
      <c r="H12" s="301"/>
      <c r="I12" s="301"/>
      <c r="J12" s="138"/>
      <c r="K12" s="144"/>
    </row>
    <row r="13" spans="1:11" ht="15" customHeight="1">
      <c r="A13" s="314"/>
      <c r="B13" s="315"/>
      <c r="C13" s="326"/>
      <c r="D13" s="327"/>
      <c r="E13" s="135" t="s">
        <v>114</v>
      </c>
      <c r="F13" s="136"/>
      <c r="G13" s="299"/>
      <c r="H13" s="302"/>
      <c r="I13" s="302"/>
      <c r="J13" s="138"/>
      <c r="K13" s="144"/>
    </row>
    <row r="14" spans="1:11" ht="18" customHeight="1">
      <c r="A14" s="331" t="s">
        <v>135</v>
      </c>
      <c r="B14" s="334" t="s">
        <v>136</v>
      </c>
      <c r="C14" s="133" t="s">
        <v>137</v>
      </c>
      <c r="D14" s="134"/>
      <c r="E14" s="337" t="s">
        <v>243</v>
      </c>
      <c r="F14" s="338"/>
      <c r="G14" s="353" t="str">
        <f>'准單(紅紙)-2份'!G14:I14</f>
        <v>1.將貨櫃卸存本站或內陸集散站（進口報關放行）。</v>
      </c>
      <c r="H14" s="354"/>
      <c r="I14" s="355"/>
      <c r="J14" s="138"/>
      <c r="K14" s="144"/>
    </row>
    <row r="15" spans="1:11" ht="18" customHeight="1">
      <c r="A15" s="332"/>
      <c r="B15" s="335"/>
      <c r="C15" s="138" t="s">
        <v>138</v>
      </c>
      <c r="D15" s="139"/>
      <c r="E15" s="339"/>
      <c r="F15" s="340"/>
      <c r="G15" s="356" t="str">
        <f>'准單(紅紙)-2份'!G15:I15</f>
        <v>2.將非櫃裝貨物押運或監視進倉存放。</v>
      </c>
      <c r="H15" s="357"/>
      <c r="I15" s="358"/>
      <c r="J15" s="138"/>
      <c r="K15" s="144"/>
    </row>
    <row r="16" spans="1:11" ht="18" customHeight="1">
      <c r="A16" s="332"/>
      <c r="B16" s="335"/>
      <c r="C16" s="138" t="s">
        <v>139</v>
      </c>
      <c r="D16" s="139"/>
      <c r="E16" s="339"/>
      <c r="F16" s="340"/>
      <c r="G16" s="356" t="str">
        <f>'准單(紅紙)-2份'!G16:I16</f>
        <v>3.船邊免驗提貨（櫃）。4.船邊驗放。</v>
      </c>
      <c r="H16" s="357"/>
      <c r="I16" s="358"/>
      <c r="J16" s="160"/>
      <c r="K16" s="144"/>
    </row>
    <row r="17" spans="1:11" ht="18" customHeight="1">
      <c r="A17" s="332"/>
      <c r="B17" s="335"/>
      <c r="C17" s="138" t="s">
        <v>140</v>
      </c>
      <c r="D17" s="139"/>
      <c r="E17" s="339"/>
      <c r="F17" s="340"/>
      <c r="G17" s="356" t="str">
        <f>'准單(紅紙)-2份'!G17:I17</f>
        <v>5.將轉口貨櫃或空櫃卸運入站.6.公證。7重新包裝。</v>
      </c>
      <c r="H17" s="357"/>
      <c r="I17" s="358"/>
      <c r="J17" s="138"/>
      <c r="K17" s="144"/>
    </row>
    <row r="18" spans="1:11" ht="18" customHeight="1">
      <c r="A18" s="332"/>
      <c r="B18" s="335"/>
      <c r="C18" s="138" t="s">
        <v>121</v>
      </c>
      <c r="D18" s="217"/>
      <c r="E18" s="339"/>
      <c r="F18" s="340"/>
      <c r="G18" s="356" t="str">
        <f>'准單(紅紙)-2份'!G18:I18</f>
        <v>8.換櫃.9.轉運他關區貨櫃。</v>
      </c>
      <c r="H18" s="357"/>
      <c r="I18" s="358"/>
      <c r="J18" s="160"/>
      <c r="K18" s="144"/>
    </row>
    <row r="19" spans="1:11" ht="18" customHeight="1">
      <c r="A19" s="333"/>
      <c r="B19" s="336"/>
      <c r="C19" s="135"/>
      <c r="D19" s="136"/>
      <c r="E19" s="341"/>
      <c r="F19" s="342"/>
      <c r="G19" s="359" t="str">
        <f>'准單(紅紙)-2份'!G19:J19</f>
        <v xml:space="preserve">10.其他:轉運至高雄港(KHH0638S ) </v>
      </c>
      <c r="H19" s="360"/>
      <c r="I19" s="361"/>
      <c r="J19" s="138"/>
      <c r="K19" s="144"/>
    </row>
    <row r="20" spans="1:11" ht="18" customHeight="1">
      <c r="A20" s="367" t="s">
        <v>141</v>
      </c>
      <c r="B20" s="368"/>
      <c r="C20" s="322" t="s">
        <v>142</v>
      </c>
      <c r="D20" s="369"/>
      <c r="E20" s="323"/>
      <c r="F20" s="322" t="s">
        <v>192</v>
      </c>
      <c r="G20" s="323"/>
      <c r="H20" s="373" t="s">
        <v>191</v>
      </c>
      <c r="I20" s="300" t="s">
        <v>143</v>
      </c>
      <c r="J20" s="164"/>
      <c r="K20" s="144"/>
    </row>
    <row r="21" spans="1:11" ht="18" customHeight="1">
      <c r="A21" s="371" t="s">
        <v>144</v>
      </c>
      <c r="B21" s="372"/>
      <c r="C21" s="326"/>
      <c r="D21" s="370"/>
      <c r="E21" s="327"/>
      <c r="F21" s="326"/>
      <c r="G21" s="327"/>
      <c r="H21" s="374"/>
      <c r="I21" s="302"/>
      <c r="J21" s="164"/>
      <c r="K21" s="144"/>
    </row>
    <row r="22" spans="1:11" s="45" customFormat="1" ht="21" customHeight="1">
      <c r="A22" s="386" t="str">
        <f>'准單(紅紙)-2份'!A22:B22</f>
        <v>5501</v>
      </c>
      <c r="B22" s="306"/>
      <c r="C22" s="307" t="str">
        <f>'准單(紅紙)-2份'!C22:E22</f>
        <v>EXPRESS PACKAGE</v>
      </c>
      <c r="D22" s="308"/>
      <c r="E22" s="309"/>
      <c r="F22" s="387" t="str">
        <f>'准單(紅紙)-2份'!F22:H22</f>
        <v>1599PKG</v>
      </c>
      <c r="G22" s="388"/>
      <c r="H22" s="218">
        <f>'准單(紅紙)-2份'!H22</f>
        <v>7137</v>
      </c>
      <c r="I22" s="145" t="str">
        <f>'准單(紅紙)-2份'!I22:J22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253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75" t="s">
        <v>148</v>
      </c>
      <c r="B29" s="378" t="s">
        <v>149</v>
      </c>
      <c r="C29" s="134"/>
      <c r="D29" s="378" t="s">
        <v>150</v>
      </c>
      <c r="E29" s="137"/>
      <c r="F29" s="134"/>
      <c r="G29" s="383" t="s">
        <v>254</v>
      </c>
      <c r="H29" s="383" t="s">
        <v>255</v>
      </c>
      <c r="I29" s="165"/>
      <c r="J29" s="11"/>
    </row>
    <row r="30" spans="1:11" ht="24" customHeight="1">
      <c r="A30" s="376"/>
      <c r="B30" s="379"/>
      <c r="C30" s="139"/>
      <c r="D30" s="381"/>
      <c r="E30" s="140"/>
      <c r="F30" s="139"/>
      <c r="G30" s="384"/>
      <c r="H30" s="384"/>
      <c r="I30" s="143"/>
      <c r="J30" s="11"/>
    </row>
    <row r="31" spans="1:11" ht="24" customHeight="1">
      <c r="A31" s="376"/>
      <c r="B31" s="379"/>
      <c r="C31" s="139"/>
      <c r="D31" s="381"/>
      <c r="E31" s="140"/>
      <c r="F31" s="139"/>
      <c r="G31" s="384"/>
      <c r="H31" s="384"/>
      <c r="I31" s="143"/>
      <c r="J31" s="11"/>
    </row>
    <row r="32" spans="1:11" ht="24" customHeight="1">
      <c r="A32" s="376"/>
      <c r="B32" s="379"/>
      <c r="C32" s="139"/>
      <c r="D32" s="381"/>
      <c r="E32" s="140"/>
      <c r="F32" s="139"/>
      <c r="G32" s="384"/>
      <c r="H32" s="384"/>
      <c r="I32" s="143"/>
      <c r="J32" s="11"/>
    </row>
    <row r="33" spans="1:10" ht="24" customHeight="1">
      <c r="A33" s="377"/>
      <c r="B33" s="380"/>
      <c r="C33" s="146"/>
      <c r="D33" s="382"/>
      <c r="E33" s="21"/>
      <c r="F33" s="146"/>
      <c r="G33" s="385"/>
      <c r="H33" s="385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  <mergeCell ref="A4:B5"/>
    <mergeCell ref="C4:F5"/>
    <mergeCell ref="H4:H5"/>
    <mergeCell ref="I4:I5"/>
    <mergeCell ref="A6:B9"/>
    <mergeCell ref="H6:H9"/>
    <mergeCell ref="I6:I9"/>
    <mergeCell ref="I20:I21"/>
    <mergeCell ref="A21:B21"/>
    <mergeCell ref="G19:I19"/>
    <mergeCell ref="G14:I14"/>
    <mergeCell ref="I10:I13"/>
    <mergeCell ref="E11:F12"/>
    <mergeCell ref="G17:I17"/>
    <mergeCell ref="G18:I18"/>
    <mergeCell ref="A22:B22"/>
    <mergeCell ref="C22:E22"/>
    <mergeCell ref="F22:G22"/>
    <mergeCell ref="F20:G21"/>
    <mergeCell ref="H20:H21"/>
    <mergeCell ref="A29:A33"/>
    <mergeCell ref="B29:B33"/>
    <mergeCell ref="D29:D33"/>
    <mergeCell ref="G29:G33"/>
    <mergeCell ref="H29:H33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1" t="s">
        <v>15</v>
      </c>
      <c r="B1" s="411"/>
      <c r="C1" s="3"/>
      <c r="D1" s="8" t="s">
        <v>26</v>
      </c>
      <c r="E1" s="412" t="s">
        <v>27</v>
      </c>
      <c r="F1" s="412"/>
      <c r="G1" s="413" t="s">
        <v>186</v>
      </c>
      <c r="H1" s="413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02" t="s">
        <v>11</v>
      </c>
      <c r="B3" s="402"/>
      <c r="C3" s="5"/>
      <c r="D3" s="3"/>
      <c r="E3" s="401" t="s">
        <v>18</v>
      </c>
      <c r="F3" s="401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01"/>
      <c r="L3" s="401"/>
    </row>
    <row r="4" spans="1:12" ht="28.5">
      <c r="A4" s="7" t="s">
        <v>20</v>
      </c>
      <c r="B4" s="7" t="s">
        <v>21</v>
      </c>
      <c r="C4" s="402" t="s">
        <v>248</v>
      </c>
      <c r="D4" s="402"/>
      <c r="E4" s="401" t="s">
        <v>22</v>
      </c>
      <c r="F4" s="401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03" t="s">
        <v>23</v>
      </c>
      <c r="B5" s="403"/>
      <c r="C5" s="3" t="s">
        <v>224</v>
      </c>
      <c r="D5" s="3"/>
      <c r="E5" s="401" t="s">
        <v>24</v>
      </c>
      <c r="F5" s="401"/>
      <c r="G5" s="404" t="s">
        <v>25</v>
      </c>
      <c r="H5" s="404"/>
      <c r="I5" s="404"/>
      <c r="J5" s="3"/>
      <c r="K5" s="3"/>
    </row>
    <row r="6" spans="1:12" ht="16.5" thickBot="1"/>
    <row r="7" spans="1:12" ht="21" customHeight="1">
      <c r="A7" s="414" t="s">
        <v>0</v>
      </c>
      <c r="B7" s="194" t="s">
        <v>1</v>
      </c>
      <c r="C7" s="414" t="s">
        <v>3</v>
      </c>
      <c r="D7" s="192" t="s">
        <v>29</v>
      </c>
      <c r="E7" s="416" t="s">
        <v>5</v>
      </c>
      <c r="F7" s="417"/>
      <c r="G7" s="194" t="s">
        <v>7</v>
      </c>
      <c r="H7" s="414" t="s">
        <v>34</v>
      </c>
      <c r="I7" s="152" t="s">
        <v>8</v>
      </c>
      <c r="J7" s="407" t="s">
        <v>10</v>
      </c>
    </row>
    <row r="8" spans="1:12" ht="16.5" thickBot="1">
      <c r="A8" s="415"/>
      <c r="B8" s="195" t="s">
        <v>2</v>
      </c>
      <c r="C8" s="415"/>
      <c r="D8" s="193" t="s">
        <v>4</v>
      </c>
      <c r="E8" s="409" t="s">
        <v>6</v>
      </c>
      <c r="F8" s="410"/>
      <c r="G8" s="195" t="s">
        <v>2</v>
      </c>
      <c r="H8" s="415"/>
      <c r="I8" s="153" t="s">
        <v>9</v>
      </c>
      <c r="J8" s="408"/>
    </row>
    <row r="9" spans="1:12" ht="21" customHeight="1">
      <c r="A9" s="414">
        <v>1</v>
      </c>
      <c r="B9" s="424" t="str">
        <f>進口艙單印1份!E16</f>
        <v>TCNU9125529</v>
      </c>
      <c r="C9" s="426">
        <f>進口艙單印1份!P16</f>
        <v>200405</v>
      </c>
      <c r="D9" s="418" t="str">
        <f>進口艙單印1份!B16</f>
        <v>5501</v>
      </c>
      <c r="E9" s="414">
        <f>進口艙單印1份!C16</f>
        <v>1599</v>
      </c>
      <c r="F9" s="414" t="str">
        <f>進口艙單印1份!D16</f>
        <v>PKG</v>
      </c>
      <c r="G9" s="167" t="str">
        <f t="shared" ref="G9" si="0">B9</f>
        <v>TCNU9125529</v>
      </c>
      <c r="H9" s="414" t="str">
        <f>進口艙單印1份!U16</f>
        <v>45G1</v>
      </c>
      <c r="I9" s="420"/>
      <c r="J9" s="405" t="s">
        <v>276</v>
      </c>
      <c r="L9" s="44"/>
    </row>
    <row r="10" spans="1:12" ht="21" customHeight="1" thickBot="1">
      <c r="A10" s="415"/>
      <c r="B10" s="425"/>
      <c r="C10" s="427"/>
      <c r="D10" s="419"/>
      <c r="E10" s="415"/>
      <c r="F10" s="415"/>
      <c r="G10" s="168">
        <f>進口艙單印1份!I16</f>
        <v>7137</v>
      </c>
      <c r="H10" s="415"/>
      <c r="I10" s="421"/>
      <c r="J10" s="406"/>
      <c r="L10" s="44"/>
    </row>
    <row r="11" spans="1:12">
      <c r="A11" s="423" t="s">
        <v>13</v>
      </c>
      <c r="B11" s="423"/>
    </row>
    <row r="12" spans="1:12">
      <c r="A12" s="422" t="s">
        <v>30</v>
      </c>
      <c r="B12" s="422"/>
      <c r="G12" t="s">
        <v>32</v>
      </c>
    </row>
    <row r="13" spans="1:12">
      <c r="A13" s="422" t="s">
        <v>14</v>
      </c>
      <c r="B13" s="422"/>
    </row>
    <row r="14" spans="1:12" ht="12" customHeight="1">
      <c r="A14" s="1"/>
    </row>
    <row r="15" spans="1:12">
      <c r="E15" s="2" t="s">
        <v>31</v>
      </c>
    </row>
  </sheetData>
  <mergeCells count="29">
    <mergeCell ref="I9:I10"/>
    <mergeCell ref="A13:B13"/>
    <mergeCell ref="A11:B11"/>
    <mergeCell ref="A9:A10"/>
    <mergeCell ref="B9:B10"/>
    <mergeCell ref="C9:C10"/>
    <mergeCell ref="A12:B12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K3:L3"/>
    <mergeCell ref="C4:D4"/>
    <mergeCell ref="E4:F4"/>
    <mergeCell ref="A5:B5"/>
    <mergeCell ref="E5:F5"/>
    <mergeCell ref="G5:I5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53" t="s">
        <v>269</v>
      </c>
      <c r="B1" s="453"/>
    </row>
    <row r="2" spans="1:16" ht="15" customHeight="1" thickBot="1">
      <c r="D2" s="429" t="s">
        <v>271</v>
      </c>
      <c r="E2" s="429"/>
      <c r="F2" s="429"/>
      <c r="G2" s="429"/>
      <c r="H2" s="429"/>
      <c r="I2" s="429"/>
      <c r="J2" s="429"/>
    </row>
    <row r="3" spans="1:16" ht="15" customHeight="1" thickTop="1">
      <c r="A3" s="40">
        <v>2</v>
      </c>
      <c r="B3" s="24" t="s">
        <v>153</v>
      </c>
    </row>
    <row r="4" spans="1:16" ht="15" customHeight="1" thickBot="1">
      <c r="A4" s="41" t="s">
        <v>183</v>
      </c>
      <c r="B4" s="25" t="s">
        <v>154</v>
      </c>
    </row>
    <row r="5" spans="1:16" ht="30" customHeight="1" thickTop="1" thickBot="1">
      <c r="A5" s="26" t="s">
        <v>155</v>
      </c>
      <c r="B5" s="462" t="str">
        <f>'准單(紅紙)-2份'!C6</f>
        <v>大佑輪</v>
      </c>
      <c r="C5" s="463"/>
      <c r="D5" s="464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54" t="str">
        <f>進口艙單印1份!O16</f>
        <v>JET-F WORLDWIDE EXPRESS CO., LTD.</v>
      </c>
      <c r="K5" s="465"/>
      <c r="L5" s="455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0.5" customHeight="1" thickBot="1">
      <c r="A7" s="466" t="s">
        <v>167</v>
      </c>
      <c r="B7" s="467"/>
      <c r="C7" s="467"/>
      <c r="D7" s="467"/>
      <c r="E7" s="467"/>
      <c r="F7" s="468"/>
      <c r="G7" s="466" t="s">
        <v>168</v>
      </c>
      <c r="H7" s="467"/>
      <c r="I7" s="467"/>
      <c r="J7" s="467"/>
      <c r="K7" s="467"/>
      <c r="L7" s="467"/>
      <c r="M7" s="467"/>
      <c r="N7" s="468"/>
    </row>
    <row r="8" spans="1:16" ht="10.5" customHeight="1" thickBot="1">
      <c r="A8" s="432" t="s">
        <v>169</v>
      </c>
      <c r="B8" s="469"/>
      <c r="C8" s="433"/>
      <c r="D8" s="432" t="s">
        <v>170</v>
      </c>
      <c r="E8" s="469"/>
      <c r="F8" s="433"/>
      <c r="G8" s="432" t="s">
        <v>171</v>
      </c>
      <c r="H8" s="433"/>
      <c r="I8" s="432" t="s">
        <v>172</v>
      </c>
      <c r="J8" s="433"/>
      <c r="K8" s="432" t="s">
        <v>173</v>
      </c>
      <c r="L8" s="433"/>
      <c r="M8" s="432" t="s">
        <v>174</v>
      </c>
      <c r="N8" s="433"/>
    </row>
    <row r="9" spans="1:16" ht="24" customHeight="1">
      <c r="A9" s="434" t="str">
        <f>進口艙單印1份!E16</f>
        <v>TCNU9125529</v>
      </c>
      <c r="B9" s="435"/>
      <c r="C9" s="436"/>
      <c r="D9" s="456">
        <f>進口艙單印1份!P16</f>
        <v>200405</v>
      </c>
      <c r="E9" s="457"/>
      <c r="F9" s="458"/>
      <c r="G9" s="446"/>
      <c r="H9" s="447"/>
      <c r="I9" s="446"/>
      <c r="J9" s="447"/>
      <c r="K9" s="446"/>
      <c r="L9" s="447"/>
      <c r="M9" s="446"/>
      <c r="N9" s="447"/>
      <c r="P9" s="37"/>
    </row>
    <row r="10" spans="1:16" ht="36" customHeight="1" thickBot="1">
      <c r="A10" s="437"/>
      <c r="B10" s="438"/>
      <c r="C10" s="439"/>
      <c r="D10" s="459" t="str">
        <f>'貨櫃清單-1份'!J9</f>
        <v>ESN500</v>
      </c>
      <c r="E10" s="460"/>
      <c r="F10" s="461"/>
      <c r="G10" s="448"/>
      <c r="H10" s="449"/>
      <c r="I10" s="448"/>
      <c r="J10" s="449"/>
      <c r="K10" s="448"/>
      <c r="L10" s="449"/>
      <c r="M10" s="448"/>
      <c r="N10" s="449"/>
      <c r="P10" s="37"/>
    </row>
    <row r="11" spans="1:16" ht="30" customHeight="1" thickBot="1">
      <c r="A11" s="440"/>
      <c r="B11" s="441"/>
      <c r="C11" s="442"/>
      <c r="D11" s="432" t="s">
        <v>175</v>
      </c>
      <c r="E11" s="433"/>
      <c r="F11" s="27" t="s">
        <v>176</v>
      </c>
      <c r="G11" s="432" t="s">
        <v>177</v>
      </c>
      <c r="H11" s="433"/>
      <c r="I11" s="432" t="s">
        <v>178</v>
      </c>
      <c r="J11" s="433"/>
      <c r="K11" s="432" t="s">
        <v>179</v>
      </c>
      <c r="L11" s="433"/>
      <c r="M11" s="432" t="s">
        <v>180</v>
      </c>
      <c r="N11" s="433"/>
    </row>
    <row r="12" spans="1:16" ht="51.75" customHeight="1" thickBot="1">
      <c r="A12" s="38" t="s">
        <v>181</v>
      </c>
      <c r="B12" s="432"/>
      <c r="C12" s="433"/>
      <c r="D12" s="454"/>
      <c r="E12" s="455"/>
      <c r="F12" s="28"/>
      <c r="G12" s="454"/>
      <c r="H12" s="455"/>
      <c r="I12" s="454"/>
      <c r="J12" s="455"/>
      <c r="K12" s="454"/>
      <c r="L12" s="455"/>
      <c r="M12" s="454"/>
      <c r="N12" s="455"/>
    </row>
    <row r="13" spans="1:16" ht="10.5" customHeight="1">
      <c r="A13" s="430" t="s">
        <v>273</v>
      </c>
      <c r="B13" s="430"/>
      <c r="C13" s="430"/>
      <c r="D13" s="430"/>
      <c r="E13" s="430"/>
      <c r="F13" s="430"/>
    </row>
    <row r="14" spans="1:16" ht="9" customHeight="1">
      <c r="A14" s="431" t="s">
        <v>274</v>
      </c>
      <c r="B14" s="431"/>
      <c r="C14" s="431"/>
      <c r="D14" s="431"/>
      <c r="E14" s="431"/>
      <c r="F14" s="431"/>
      <c r="G14" s="431"/>
      <c r="H14" s="431"/>
      <c r="I14" s="431"/>
      <c r="J14" s="431"/>
      <c r="K14" s="431"/>
      <c r="L14" s="431"/>
      <c r="M14" s="431"/>
      <c r="N14" s="431"/>
    </row>
    <row r="15" spans="1:16" ht="15" customHeight="1">
      <c r="A15" s="453" t="s">
        <v>270</v>
      </c>
      <c r="B15" s="453"/>
    </row>
    <row r="16" spans="1:16" ht="15" customHeight="1" thickBot="1">
      <c r="D16" s="429" t="s">
        <v>271</v>
      </c>
      <c r="E16" s="429"/>
      <c r="F16" s="429"/>
      <c r="G16" s="429"/>
      <c r="H16" s="429"/>
      <c r="I16" s="429"/>
      <c r="J16" s="429"/>
    </row>
    <row r="17" spans="1:14" ht="15" customHeight="1" thickTop="1">
      <c r="A17" s="40">
        <v>2</v>
      </c>
      <c r="B17" s="24" t="s">
        <v>153</v>
      </c>
    </row>
    <row r="18" spans="1:14" ht="15" customHeight="1" thickBot="1">
      <c r="A18" s="41" t="s">
        <v>183</v>
      </c>
      <c r="B18" s="25" t="s">
        <v>154</v>
      </c>
    </row>
    <row r="19" spans="1:14" ht="30" customHeight="1" thickTop="1" thickBot="1">
      <c r="A19" s="31" t="s">
        <v>182</v>
      </c>
      <c r="B19" s="462" t="str">
        <f>B5</f>
        <v>大佑輪</v>
      </c>
      <c r="C19" s="463"/>
      <c r="D19" s="464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54" t="str">
        <f>J5</f>
        <v>JET-F WORLDWIDE EXPRESS CO., LTD.</v>
      </c>
      <c r="K19" s="465"/>
      <c r="L19" s="455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0.5" customHeight="1" thickBot="1">
      <c r="A21" s="466" t="s">
        <v>167</v>
      </c>
      <c r="B21" s="467"/>
      <c r="C21" s="467"/>
      <c r="D21" s="467"/>
      <c r="E21" s="467"/>
      <c r="F21" s="468"/>
      <c r="G21" s="466" t="s">
        <v>168</v>
      </c>
      <c r="H21" s="467"/>
      <c r="I21" s="467"/>
      <c r="J21" s="467"/>
      <c r="K21" s="467"/>
      <c r="L21" s="467"/>
      <c r="M21" s="467"/>
      <c r="N21" s="468"/>
    </row>
    <row r="22" spans="1:14" ht="10.5" customHeight="1" thickBot="1">
      <c r="A22" s="432" t="s">
        <v>169</v>
      </c>
      <c r="B22" s="469"/>
      <c r="C22" s="433"/>
      <c r="D22" s="432" t="s">
        <v>170</v>
      </c>
      <c r="E22" s="469"/>
      <c r="F22" s="433"/>
      <c r="G22" s="432" t="s">
        <v>171</v>
      </c>
      <c r="H22" s="433"/>
      <c r="I22" s="432" t="s">
        <v>172</v>
      </c>
      <c r="J22" s="433"/>
      <c r="K22" s="432" t="s">
        <v>173</v>
      </c>
      <c r="L22" s="433"/>
      <c r="M22" s="432" t="s">
        <v>174</v>
      </c>
      <c r="N22" s="433"/>
    </row>
    <row r="23" spans="1:14" ht="24" customHeight="1">
      <c r="A23" s="470" t="str">
        <f>A9</f>
        <v>TCNU9125529</v>
      </c>
      <c r="B23" s="471"/>
      <c r="C23" s="472"/>
      <c r="D23" s="443">
        <f>D9</f>
        <v>200405</v>
      </c>
      <c r="E23" s="444"/>
      <c r="F23" s="445"/>
      <c r="G23" s="446"/>
      <c r="H23" s="447"/>
      <c r="I23" s="446"/>
      <c r="J23" s="447"/>
      <c r="K23" s="446"/>
      <c r="L23" s="447"/>
      <c r="M23" s="446"/>
      <c r="N23" s="447"/>
    </row>
    <row r="24" spans="1:14" ht="36" customHeight="1" thickBot="1">
      <c r="A24" s="473"/>
      <c r="B24" s="474"/>
      <c r="C24" s="475"/>
      <c r="D24" s="450" t="str">
        <f>D10</f>
        <v>ESN500</v>
      </c>
      <c r="E24" s="451"/>
      <c r="F24" s="452"/>
      <c r="G24" s="448"/>
      <c r="H24" s="449"/>
      <c r="I24" s="448"/>
      <c r="J24" s="449"/>
      <c r="K24" s="448"/>
      <c r="L24" s="449"/>
      <c r="M24" s="448"/>
      <c r="N24" s="449"/>
    </row>
    <row r="25" spans="1:14" ht="30" customHeight="1" thickBot="1">
      <c r="A25" s="476"/>
      <c r="B25" s="477"/>
      <c r="C25" s="478"/>
      <c r="D25" s="432" t="s">
        <v>175</v>
      </c>
      <c r="E25" s="433"/>
      <c r="F25" s="27" t="s">
        <v>176</v>
      </c>
      <c r="G25" s="432" t="s">
        <v>177</v>
      </c>
      <c r="H25" s="433"/>
      <c r="I25" s="432" t="s">
        <v>178</v>
      </c>
      <c r="J25" s="433"/>
      <c r="K25" s="432" t="s">
        <v>179</v>
      </c>
      <c r="L25" s="433"/>
      <c r="M25" s="432" t="s">
        <v>180</v>
      </c>
      <c r="N25" s="433"/>
    </row>
    <row r="26" spans="1:14" ht="51.75" customHeight="1" thickBot="1">
      <c r="A26" s="38" t="s">
        <v>181</v>
      </c>
      <c r="B26" s="432"/>
      <c r="C26" s="433"/>
      <c r="D26" s="432"/>
      <c r="E26" s="433"/>
      <c r="F26" s="27"/>
      <c r="G26" s="432"/>
      <c r="H26" s="433"/>
      <c r="I26" s="432"/>
      <c r="J26" s="433"/>
      <c r="K26" s="432"/>
      <c r="L26" s="433"/>
      <c r="M26" s="432"/>
      <c r="N26" s="433"/>
    </row>
    <row r="27" spans="1:14" ht="10.5" customHeight="1">
      <c r="A27" s="430" t="s">
        <v>273</v>
      </c>
      <c r="B27" s="430"/>
      <c r="C27" s="430"/>
      <c r="D27" s="430"/>
      <c r="E27" s="430"/>
      <c r="F27" s="430"/>
    </row>
    <row r="28" spans="1:14" s="169" customFormat="1" ht="9.75" customHeight="1">
      <c r="A28" s="431" t="s">
        <v>274</v>
      </c>
      <c r="B28" s="431"/>
      <c r="C28" s="431"/>
      <c r="D28" s="431"/>
      <c r="E28" s="431"/>
      <c r="F28" s="431"/>
      <c r="G28" s="431"/>
      <c r="H28" s="431"/>
      <c r="I28" s="431"/>
      <c r="J28" s="431"/>
      <c r="K28" s="431"/>
      <c r="L28" s="431"/>
      <c r="M28" s="431"/>
      <c r="N28" s="431"/>
    </row>
    <row r="29" spans="1:14" ht="15" customHeight="1">
      <c r="A29" s="428" t="s">
        <v>272</v>
      </c>
      <c r="B29" s="428"/>
    </row>
    <row r="30" spans="1:14" ht="15" customHeight="1" thickBot="1">
      <c r="D30" s="429" t="s">
        <v>271</v>
      </c>
      <c r="E30" s="429"/>
      <c r="F30" s="429"/>
      <c r="G30" s="429"/>
      <c r="H30" s="429"/>
      <c r="I30" s="429"/>
      <c r="J30" s="429"/>
    </row>
    <row r="31" spans="1:14" ht="15" customHeight="1" thickTop="1">
      <c r="A31" s="40">
        <v>2</v>
      </c>
      <c r="B31" s="24" t="s">
        <v>153</v>
      </c>
    </row>
    <row r="32" spans="1:14" ht="15" customHeight="1" thickBot="1">
      <c r="A32" s="41" t="s">
        <v>183</v>
      </c>
      <c r="B32" s="25" t="s">
        <v>154</v>
      </c>
    </row>
    <row r="33" spans="1:14" ht="30" customHeight="1" thickTop="1" thickBot="1">
      <c r="A33" s="31" t="s">
        <v>182</v>
      </c>
      <c r="B33" s="462" t="str">
        <f>B5</f>
        <v>大佑輪</v>
      </c>
      <c r="C33" s="463"/>
      <c r="D33" s="464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54" t="str">
        <f>J5</f>
        <v>JET-F WORLDWIDE EXPRESS CO., LTD.</v>
      </c>
      <c r="K33" s="465"/>
      <c r="L33" s="455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0.5" customHeight="1" thickBot="1">
      <c r="A35" s="466" t="s">
        <v>167</v>
      </c>
      <c r="B35" s="467"/>
      <c r="C35" s="467"/>
      <c r="D35" s="467"/>
      <c r="E35" s="467"/>
      <c r="F35" s="468"/>
      <c r="G35" s="466" t="s">
        <v>168</v>
      </c>
      <c r="H35" s="467"/>
      <c r="I35" s="467"/>
      <c r="J35" s="467"/>
      <c r="K35" s="467"/>
      <c r="L35" s="467"/>
      <c r="M35" s="467"/>
      <c r="N35" s="468"/>
    </row>
    <row r="36" spans="1:14" ht="10.5" customHeight="1" thickBot="1">
      <c r="A36" s="432" t="s">
        <v>169</v>
      </c>
      <c r="B36" s="469"/>
      <c r="C36" s="433"/>
      <c r="D36" s="432" t="s">
        <v>170</v>
      </c>
      <c r="E36" s="469"/>
      <c r="F36" s="433"/>
      <c r="G36" s="432" t="s">
        <v>171</v>
      </c>
      <c r="H36" s="433"/>
      <c r="I36" s="432" t="s">
        <v>172</v>
      </c>
      <c r="J36" s="433"/>
      <c r="K36" s="432" t="s">
        <v>173</v>
      </c>
      <c r="L36" s="433"/>
      <c r="M36" s="432" t="s">
        <v>174</v>
      </c>
      <c r="N36" s="433"/>
    </row>
    <row r="37" spans="1:14" ht="18" customHeight="1">
      <c r="A37" s="434" t="str">
        <f>A9</f>
        <v>TCNU9125529</v>
      </c>
      <c r="B37" s="435"/>
      <c r="C37" s="436"/>
      <c r="D37" s="443">
        <f>D9</f>
        <v>200405</v>
      </c>
      <c r="E37" s="444"/>
      <c r="F37" s="445"/>
      <c r="G37" s="446"/>
      <c r="H37" s="447"/>
      <c r="I37" s="446"/>
      <c r="J37" s="447"/>
      <c r="K37" s="446"/>
      <c r="L37" s="447"/>
      <c r="M37" s="446"/>
      <c r="N37" s="447"/>
    </row>
    <row r="38" spans="1:14" ht="36" customHeight="1" thickBot="1">
      <c r="A38" s="437"/>
      <c r="B38" s="438"/>
      <c r="C38" s="439"/>
      <c r="D38" s="450" t="str">
        <f>D10</f>
        <v>ESN500</v>
      </c>
      <c r="E38" s="451"/>
      <c r="F38" s="452"/>
      <c r="G38" s="448"/>
      <c r="H38" s="449"/>
      <c r="I38" s="448"/>
      <c r="J38" s="449"/>
      <c r="K38" s="448"/>
      <c r="L38" s="449"/>
      <c r="M38" s="448"/>
      <c r="N38" s="449"/>
    </row>
    <row r="39" spans="1:14" ht="30" customHeight="1" thickBot="1">
      <c r="A39" s="440"/>
      <c r="B39" s="441"/>
      <c r="C39" s="442"/>
      <c r="D39" s="432" t="s">
        <v>175</v>
      </c>
      <c r="E39" s="433"/>
      <c r="F39" s="27" t="s">
        <v>176</v>
      </c>
      <c r="G39" s="432" t="s">
        <v>177</v>
      </c>
      <c r="H39" s="433"/>
      <c r="I39" s="432" t="s">
        <v>178</v>
      </c>
      <c r="J39" s="433"/>
      <c r="K39" s="432" t="s">
        <v>179</v>
      </c>
      <c r="L39" s="433"/>
      <c r="M39" s="432" t="s">
        <v>180</v>
      </c>
      <c r="N39" s="433"/>
    </row>
    <row r="40" spans="1:14" ht="51.75" customHeight="1" thickBot="1">
      <c r="A40" s="38" t="s">
        <v>181</v>
      </c>
      <c r="B40" s="432"/>
      <c r="C40" s="433"/>
      <c r="D40" s="432"/>
      <c r="E40" s="433"/>
      <c r="F40" s="27"/>
      <c r="G40" s="432"/>
      <c r="H40" s="433"/>
      <c r="I40" s="432"/>
      <c r="J40" s="433"/>
      <c r="K40" s="432"/>
      <c r="L40" s="433"/>
      <c r="M40" s="432"/>
      <c r="N40" s="433"/>
    </row>
    <row r="41" spans="1:14" ht="10.5" customHeight="1">
      <c r="A41" s="430" t="s">
        <v>273</v>
      </c>
      <c r="B41" s="430"/>
      <c r="C41" s="430"/>
      <c r="D41" s="430"/>
      <c r="E41" s="430"/>
      <c r="F41" s="430"/>
    </row>
  </sheetData>
  <sheetProtection selectLockedCells="1"/>
  <mergeCells count="95"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D12:E12"/>
    <mergeCell ref="G12:H12"/>
    <mergeCell ref="I12:J12"/>
    <mergeCell ref="K12:L12"/>
    <mergeCell ref="G11:H11"/>
    <mergeCell ref="I11:J11"/>
    <mergeCell ref="K11:L11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G40:H40"/>
    <mergeCell ref="I40:J40"/>
    <mergeCell ref="K40:L40"/>
    <mergeCell ref="G39:H39"/>
    <mergeCell ref="I39:J39"/>
    <mergeCell ref="K39:L39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2026-09-11T12:11:49Z</dcterms:modified>
</cp:coreProperties>
</file>