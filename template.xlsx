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26B6DD13-875B-48F6-8C98-DEEB1682275F}" xr6:coauthVersionLast="47" xr6:coauthVersionMax="47" xr10:uidLastSave="{00000000-0000-0000-0000-000000000000}"/>
  <bookViews>
    <workbookView xWindow="-120" yWindow="-120" windowWidth="21840" windowHeight="13020" tabRatio="618" firstSheet="1" activeTab="5" xr2:uid="{00000000-000D-0000-FFFF-FFFF00000000}"/>
  </bookViews>
  <sheets>
    <sheet name="建船資料檔" sheetId="78" r:id="rId1"/>
    <sheet name="進口艙單印1份" sheetId="7" r:id="rId2"/>
    <sheet name="T1快遞貨物訊息" sheetId="77" r:id="rId3"/>
    <sheet name="准單(紅紙)-2份" sheetId="8" r:id="rId4"/>
    <sheet name="准單申請-1份 " sheetId="9" r:id="rId5"/>
    <sheet name="貨櫃清單-1份" sheetId="5" r:id="rId6"/>
    <sheet name="運送第1筆" sheetId="33" r:id="rId7"/>
  </sheets>
  <definedNames>
    <definedName name="_xlnm._FilterDatabase" localSheetId="2" hidden="1">T1快遞貨物訊息!$A$2:$A$3</definedName>
    <definedName name="Addr1">" 4,, 34TH RD., Industrial Park"</definedName>
    <definedName name="Addr2">"Taichung, Taiwan, R.O.C"</definedName>
    <definedName name="Addr3">"Tel: +886-4-350-1551  Fax: +886-4-350-1252"</definedName>
    <definedName name="Addr4">""</definedName>
    <definedName name="Agent">""</definedName>
    <definedName name="AgentTitle">""</definedName>
    <definedName name="Attach">""</definedName>
    <definedName name="BillTo1">"BLK 105, BOON KENG ROAD"</definedName>
    <definedName name="BillTo2">"#6-10, KALLANG BASIN"</definedName>
    <definedName name="BillTo3">"INDUSTRIAL ESTATE,  SINGAPORE 339776 "</definedName>
    <definedName name="BillTo4">"Tel: 65-298-8823  Fax: 65-298-8836"</definedName>
    <definedName name="c_fax">21</definedName>
    <definedName name="c_pkg">12</definedName>
    <definedName name="CapCtn1">""</definedName>
    <definedName name="CapCtn2">""</definedName>
    <definedName name="CapSum1">"SAY TOTAL USD DOLLAR FIFTEEN THOUSAND SIXTY NINE AND CENTS NINETY ONLY"</definedName>
    <definedName name="CapSum2">""</definedName>
    <definedName name="CMSum">0</definedName>
    <definedName name="Company">"SYRIS International Corp."</definedName>
    <definedName name="Consignee">"SYRIS"</definedName>
    <definedName name="CtnNo">2996</definedName>
    <definedName name="CtnNoTxt">"C/No: 1-2996"</definedName>
    <definedName name="Currency">"USD 1:33"</definedName>
    <definedName name="CurrencyName">"USD"</definedName>
    <definedName name="CurrencyText">"幣別匯率："</definedName>
    <definedName name="Cust1">" "</definedName>
    <definedName name="Cust2">" "</definedName>
    <definedName name="CustName1">"自訂欄１:"</definedName>
    <definedName name="CustName2">"自訂欄２:"</definedName>
    <definedName name="CustomNo">""</definedName>
    <definedName name="Date">"April 30, 1999"</definedName>
    <definedName name="DisPort">" "</definedName>
    <definedName name="ETA">""</definedName>
    <definedName name="ETD">""</definedName>
    <definedName name="GWSum">0</definedName>
    <definedName name="Insurance">" "</definedName>
    <definedName name="LoadPort">" "</definedName>
    <definedName name="MadeIn">"Made in  "</definedName>
    <definedName name="Memo">" "</definedName>
    <definedName name="MyFax">"+886-4-350-1252"</definedName>
    <definedName name="MyTel">"+886-4-350-1551"</definedName>
    <definedName name="No">"SS880430002"</definedName>
    <definedName name="NWSum">0</definedName>
    <definedName name="OLE_LINK6" localSheetId="6">運送第1筆!$A$5</definedName>
    <definedName name="OrgNo">" "</definedName>
    <definedName name="Paid">0</definedName>
    <definedName name="Payment">" "</definedName>
    <definedName name="PgNo">3</definedName>
    <definedName name="_xlnm.Print_Area" localSheetId="3">'准單(紅紙)-2份'!$A$1:$I$29</definedName>
    <definedName name="_xlnm.Print_Area" localSheetId="4">'准單申請-1份 '!$A$1:$I$33</definedName>
    <definedName name="_xlnm.Print_Area" localSheetId="5">'貨櫃清單-1份'!$A$1:$J$15</definedName>
    <definedName name="_xlnm.Print_Area" localSheetId="1">進口艙單印1份!$A$1:$N$19</definedName>
    <definedName name="_xlnm.Print_Area" localSheetId="6">運送第1筆!$A$1:$N$41</definedName>
    <definedName name="QtySum">2996</definedName>
    <definedName name="QtyUnit">"PCS"</definedName>
    <definedName name="r_b">21</definedName>
    <definedName name="r_e">39</definedName>
    <definedName name="r_rmk1">18</definedName>
    <definedName name="r_rmk2">54</definedName>
    <definedName name="ShipTo1">"BLK 105, BOON KENGROAD"</definedName>
    <definedName name="ShipTo2">"#6-10, KALLANG BASIN "</definedName>
    <definedName name="ShipTo3">"INDUSTRIAL ESTATE, "</definedName>
    <definedName name="ShipTo4">"SINGAPORE 339776 "</definedName>
    <definedName name="ShipVia">" "</definedName>
    <definedName name="Subject">""</definedName>
    <definedName name="Sum">15069.9</definedName>
    <definedName name="Tax">0</definedName>
    <definedName name="Term">" "</definedName>
    <definedName name="TxtDue">""</definedName>
    <definedName name="TxtWgh">""</definedName>
    <definedName name="Vessel">" "</definedName>
    <definedName name="Vessel2">" "</definedName>
    <definedName name="WhoAttn">" "</definedName>
    <definedName name="WhoCC">""</definedName>
    <definedName name="WhoCompany">"SYRIS INTERNATIONAL  PTE LTD"</definedName>
    <definedName name="WhoFax">"65-298-8836"</definedName>
    <definedName name="WhoTel">"65-298-8823"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9" l="1"/>
  <c r="L3" i="77"/>
  <c r="F6" i="33"/>
  <c r="F20" i="33" s="1"/>
  <c r="D10" i="33"/>
  <c r="F9" i="5"/>
  <c r="E9" i="5"/>
  <c r="F22" i="8"/>
  <c r="F22" i="9" s="1"/>
  <c r="G18" i="9"/>
  <c r="G17" i="9"/>
  <c r="G16" i="9"/>
  <c r="G15" i="9"/>
  <c r="G19" i="9"/>
  <c r="G14" i="9"/>
  <c r="C22" i="8"/>
  <c r="C22" i="9" s="1"/>
  <c r="E3" i="77"/>
  <c r="I3" i="9"/>
  <c r="H3" i="9"/>
  <c r="K3" i="77"/>
  <c r="J3" i="77"/>
  <c r="I4" i="8"/>
  <c r="I3" i="5" s="1"/>
  <c r="J6" i="7"/>
  <c r="L6" i="7" s="1"/>
  <c r="F6" i="7"/>
  <c r="L3" i="7"/>
  <c r="G6" i="8" s="1"/>
  <c r="G6" i="9" s="1"/>
  <c r="J3" i="7"/>
  <c r="H3" i="7"/>
  <c r="F3" i="7"/>
  <c r="D3" i="7"/>
  <c r="G3" i="5" s="1"/>
  <c r="H9" i="5"/>
  <c r="A3" i="77"/>
  <c r="B3" i="77"/>
  <c r="D3" i="77"/>
  <c r="C9" i="5"/>
  <c r="I17" i="7"/>
  <c r="C17" i="7"/>
  <c r="F16" i="7"/>
  <c r="B5" i="33"/>
  <c r="B19" i="33" s="1"/>
  <c r="C6" i="9"/>
  <c r="D9" i="33"/>
  <c r="D23" i="33" s="1"/>
  <c r="A9" i="33"/>
  <c r="A23" i="33" s="1"/>
  <c r="N5" i="33"/>
  <c r="N6" i="33" s="1"/>
  <c r="N20" i="33" s="1"/>
  <c r="H5" i="33"/>
  <c r="H19" i="33" s="1"/>
  <c r="B34" i="33"/>
  <c r="B20" i="33"/>
  <c r="I22" i="8"/>
  <c r="D9" i="5"/>
  <c r="G10" i="5"/>
  <c r="B9" i="5"/>
  <c r="G9" i="5" s="1"/>
  <c r="C10" i="9"/>
  <c r="C4" i="9"/>
  <c r="H22" i="8"/>
  <c r="H22" i="9" s="1"/>
  <c r="A22" i="8"/>
  <c r="A22" i="9" s="1"/>
  <c r="J5" i="33"/>
  <c r="J33" i="33" s="1"/>
  <c r="F5" i="33" l="1"/>
  <c r="N33" i="33"/>
  <c r="F34" i="33"/>
  <c r="J19" i="33"/>
  <c r="G4" i="5"/>
  <c r="B33" i="33"/>
  <c r="D37" i="33"/>
  <c r="N19" i="33"/>
  <c r="N34" i="33"/>
  <c r="G10" i="8"/>
  <c r="I4" i="9"/>
  <c r="G10" i="9" s="1"/>
  <c r="H33" i="33"/>
  <c r="A37" i="33"/>
  <c r="D24" i="33"/>
  <c r="D38" i="33"/>
  <c r="F33" i="33" l="1"/>
  <c r="F19" i="33" l="1"/>
</calcChain>
</file>

<file path=xl/sharedStrings.xml><?xml version="1.0" encoding="utf-8"?>
<sst xmlns="http://schemas.openxmlformats.org/spreadsheetml/2006/main" count="355" uniqueCount="279">
  <si>
    <t>項次</t>
  </si>
  <si>
    <t>貨櫃標記及</t>
  </si>
  <si>
    <t>號碼</t>
  </si>
  <si>
    <t>封條號碼</t>
  </si>
  <si>
    <t>貨單號碼</t>
  </si>
  <si>
    <t>件數／</t>
  </si>
  <si>
    <t>單位</t>
  </si>
  <si>
    <t>貨櫃運送單</t>
  </si>
  <si>
    <t>進出站</t>
  </si>
  <si>
    <t>註記</t>
  </si>
  <si>
    <t>海關處理記錄</t>
  </si>
  <si>
    <t>准單號碼：</t>
  </si>
  <si>
    <t>列印關員：</t>
  </si>
  <si>
    <t>倉 儲 業</t>
  </si>
  <si>
    <t>(代理行)</t>
  </si>
  <si>
    <t>(簡5166)</t>
  </si>
  <si>
    <t>□</t>
  </si>
  <si>
    <t>A.實貨櫃 B.空貨櫃</t>
  </si>
  <si>
    <t>船    名：</t>
  </si>
  <si>
    <t>列印時間：</t>
  </si>
  <si>
    <t>卸存運往</t>
  </si>
  <si>
    <t>地場站名稱：</t>
  </si>
  <si>
    <t>船隻掛號：</t>
  </si>
  <si>
    <t>出口裝船地名稱：</t>
  </si>
  <si>
    <t>列印階段：</t>
  </si>
  <si>
    <r>
      <t>□</t>
    </r>
    <r>
      <rPr>
        <sz val="10"/>
        <color rgb="FF000000"/>
        <rFont val="細明體"/>
        <family val="3"/>
        <charset val="136"/>
      </rPr>
      <t>1.核發准單 2.申請加封 3.裝船結關</t>
    </r>
  </si>
  <si>
    <r>
      <t xml:space="preserve">□ </t>
    </r>
    <r>
      <rPr>
        <sz val="28"/>
        <color rgb="FF000000"/>
        <rFont val="標楷體"/>
        <family val="4"/>
        <charset val="136"/>
      </rPr>
      <t xml:space="preserve"> </t>
    </r>
    <r>
      <rPr>
        <sz val="20"/>
        <color rgb="FF000000"/>
        <rFont val="標楷體"/>
        <family val="4"/>
        <charset val="136"/>
      </rPr>
      <t/>
    </r>
    <phoneticPr fontId="3" type="noConversion"/>
  </si>
  <si>
    <t>1.進口
2.出口</t>
    <phoneticPr fontId="3" type="noConversion"/>
  </si>
  <si>
    <t>NO.</t>
    <phoneticPr fontId="3" type="noConversion"/>
  </si>
  <si>
    <t>艙單／裝</t>
    <phoneticPr fontId="3" type="noConversion"/>
  </si>
  <si>
    <t>船 公 司 簽 章</t>
    <phoneticPr fontId="3" type="noConversion"/>
  </si>
  <si>
    <t>第       頁</t>
    <phoneticPr fontId="3" type="noConversion"/>
  </si>
  <si>
    <t>關 員 簽 章</t>
    <phoneticPr fontId="3" type="noConversion"/>
  </si>
  <si>
    <t>PKG</t>
    <phoneticPr fontId="3" type="noConversion"/>
  </si>
  <si>
    <t>貨櫃種類</t>
    <phoneticPr fontId="3" type="noConversion"/>
  </si>
  <si>
    <t>中華民國海關艙單</t>
    <phoneticPr fontId="14" type="noConversion"/>
  </si>
  <si>
    <t xml:space="preserve">                   </t>
    <phoneticPr fontId="14" type="noConversion"/>
  </si>
  <si>
    <t>INPORT EXPORT TEKOUCK</t>
    <phoneticPr fontId="14" type="noConversion"/>
  </si>
  <si>
    <t>運送人或代理人名稱及代碼</t>
    <phoneticPr fontId="14" type="noConversion"/>
  </si>
  <si>
    <t>到港前一港</t>
    <phoneticPr fontId="14" type="noConversion"/>
  </si>
  <si>
    <t>前一港離港日期</t>
    <phoneticPr fontId="14" type="noConversion"/>
  </si>
  <si>
    <t>報關日期</t>
    <phoneticPr fontId="14" type="noConversion"/>
  </si>
  <si>
    <t>航行次一港</t>
    <phoneticPr fontId="14" type="noConversion"/>
  </si>
  <si>
    <t>受理艙單機關/</t>
    <phoneticPr fontId="14" type="noConversion"/>
  </si>
  <si>
    <t>受理艙單</t>
    <phoneticPr fontId="14" type="noConversion"/>
  </si>
  <si>
    <t>CAEEIER  OR  ETS  AGENT  &amp;  CODE</t>
    <phoneticPr fontId="14" type="noConversion"/>
  </si>
  <si>
    <t>Last  port  of  call</t>
    <phoneticPr fontId="14" type="noConversion"/>
  </si>
  <si>
    <t>Last port Month Date Hour</t>
    <phoneticPr fontId="14" type="noConversion"/>
  </si>
  <si>
    <t>Next port of call</t>
    <phoneticPr fontId="14" type="noConversion"/>
  </si>
  <si>
    <t>艙單收單機關</t>
    <phoneticPr fontId="14" type="noConversion"/>
  </si>
  <si>
    <t>時間</t>
    <phoneticPr fontId="14" type="noConversion"/>
  </si>
  <si>
    <t>BG</t>
    <phoneticPr fontId="14" type="noConversion"/>
  </si>
  <si>
    <t>主提單號碼或託運單主號</t>
  </si>
  <si>
    <t>貨物件數及單位(包</t>
    <phoneticPr fontId="14" type="noConversion"/>
  </si>
  <si>
    <t>標記及貨物唯一追蹤號碼</t>
  </si>
  <si>
    <t>貨名、稅則前六碼、危險貨物代碼</t>
    <phoneticPr fontId="14" type="noConversion"/>
  </si>
  <si>
    <t>卸存地點代碼(R)、暫存</t>
    <phoneticPr fontId="14" type="noConversion"/>
  </si>
  <si>
    <t>毛重、體積、</t>
    <phoneticPr fontId="14" type="noConversion"/>
  </si>
  <si>
    <t>收貨人、受通知人、發貨人名稱及地址</t>
    <phoneticPr fontId="14" type="noConversion"/>
  </si>
  <si>
    <t>備註</t>
  </si>
  <si>
    <t>MASTER DELIVERY ORDER NUMBER/</t>
  </si>
  <si>
    <t>艙單類別</t>
  </si>
  <si>
    <t>裝說明)、合成註記</t>
    <phoneticPr fontId="14" type="noConversion"/>
  </si>
  <si>
    <t>SHIPPING MARKS &amp; UNIQUE</t>
  </si>
  <si>
    <t>BREIF DESCRIPTION OF CARGO, FIRST SIXCODE (SUB-HEADING) OF C.C.C.CODE,</t>
    <phoneticPr fontId="14" type="noConversion"/>
  </si>
  <si>
    <t>地點代碼(T)、裝貨港代</t>
  </si>
  <si>
    <t>體積單位</t>
    <phoneticPr fontId="14" type="noConversion"/>
  </si>
  <si>
    <t>CONSIGNEE/CONSIGNOR, NOTIFY PARTY NAME &amp;</t>
    <phoneticPr fontId="14" type="noConversion"/>
  </si>
  <si>
    <t>REMARKS</t>
  </si>
  <si>
    <t>MASTER BILL OF LADING NUMBER</t>
  </si>
  <si>
    <t>MANIFEST</t>
  </si>
  <si>
    <t>TOTAL NUMBER OF</t>
    <phoneticPr fontId="14" type="noConversion"/>
  </si>
  <si>
    <t>CONSIGNMENT REFERENCE NO.</t>
  </si>
  <si>
    <t>DANGEROUS GOODS, CODED</t>
    <phoneticPr fontId="14" type="noConversion"/>
  </si>
  <si>
    <t>碼(L)、目的地代碼(D)</t>
    <phoneticPr fontId="14" type="noConversion"/>
  </si>
  <si>
    <t>GROSS WEIGHT</t>
    <phoneticPr fontId="14" type="noConversion"/>
  </si>
  <si>
    <t>ADDRESS</t>
    <phoneticPr fontId="14" type="noConversion"/>
  </si>
  <si>
    <t>SERIAL NO./</t>
  </si>
  <si>
    <t>PACKAGE &amp; PACKAGE</t>
    <phoneticPr fontId="14" type="noConversion"/>
  </si>
  <si>
    <t>貨櫃號碼、實櫃種類、貨櫃裝運方式、封條號碼</t>
    <phoneticPr fontId="14" type="noConversion"/>
  </si>
  <si>
    <t>、停泊碼頭(含浮筒)代</t>
    <phoneticPr fontId="14" type="noConversion"/>
  </si>
  <si>
    <t>MEASUREMENT</t>
    <phoneticPr fontId="14" type="noConversion"/>
  </si>
  <si>
    <t>境海關辦公</t>
  </si>
  <si>
    <t>DECONSOLIDATOR, CODE/HOUSE</t>
  </si>
  <si>
    <t>UNIT(TYPE OF PACKAGE</t>
    <phoneticPr fontId="14" type="noConversion"/>
  </si>
  <si>
    <t>FULL CONTAINER NO.&amp; TYPE, TRANSPORT</t>
    <phoneticPr fontId="14" type="noConversion"/>
  </si>
  <si>
    <t>碼(W)</t>
    <phoneticPr fontId="14" type="noConversion"/>
  </si>
  <si>
    <t>UNIT</t>
    <phoneticPr fontId="14" type="noConversion"/>
  </si>
  <si>
    <t>室代碼、貨</t>
  </si>
  <si>
    <t>DELIVERY ORDER</t>
  </si>
  <si>
    <t>CATEGORIES</t>
  </si>
  <si>
    <t>CO-PACKAGE NOTE</t>
    <phoneticPr fontId="14" type="noConversion"/>
  </si>
  <si>
    <t>SERVICE REQ., SEAL NUMBER</t>
    <phoneticPr fontId="14" type="noConversion"/>
  </si>
  <si>
    <t>物處理指示說明)</t>
    <phoneticPr fontId="14" type="noConversion"/>
  </si>
  <si>
    <t>PKG</t>
    <phoneticPr fontId="14" type="noConversion"/>
  </si>
  <si>
    <t>(1)</t>
  </si>
  <si>
    <t>合計</t>
    <phoneticPr fontId="14" type="noConversion"/>
  </si>
  <si>
    <t>船長簽單:</t>
    <phoneticPr fontId="14" type="noConversion"/>
  </si>
  <si>
    <t>NASTER SIGNATURE</t>
    <phoneticPr fontId="14" type="noConversion"/>
  </si>
  <si>
    <t>CARRIER OR ITS AGENT SIGNATURE</t>
    <phoneticPr fontId="14" type="noConversion"/>
  </si>
  <si>
    <t xml:space="preserve">  特 別 准 單 </t>
    <phoneticPr fontId="14" type="noConversion"/>
  </si>
  <si>
    <t>簡5160</t>
    <phoneticPr fontId="14" type="noConversion"/>
  </si>
  <si>
    <t>申請人名稱</t>
    <phoneticPr fontId="14" type="noConversion"/>
  </si>
  <si>
    <t>新銳船務代理有限公司</t>
    <phoneticPr fontId="14" type="noConversion"/>
  </si>
  <si>
    <t>申請日期</t>
    <phoneticPr fontId="14" type="noConversion"/>
  </si>
  <si>
    <t>船名或航機班次</t>
    <phoneticPr fontId="14" type="noConversion"/>
  </si>
  <si>
    <t>船隻掛號</t>
    <phoneticPr fontId="14" type="noConversion"/>
  </si>
  <si>
    <t>受理關別</t>
    <phoneticPr fontId="14" type="noConversion"/>
  </si>
  <si>
    <t>BG</t>
    <phoneticPr fontId="14" type="noConversion"/>
  </si>
  <si>
    <t>船隻掛號</t>
  </si>
  <si>
    <t>卸  存  地  點</t>
    <phoneticPr fontId="14" type="noConversion"/>
  </si>
  <si>
    <t>進</t>
    <phoneticPr fontId="14" type="noConversion"/>
  </si>
  <si>
    <t>停泊碼頭</t>
    <phoneticPr fontId="14" type="noConversion"/>
  </si>
  <si>
    <t>料羅</t>
    <phoneticPr fontId="14" type="noConversion"/>
  </si>
  <si>
    <t>出</t>
    <phoneticPr fontId="14" type="noConversion"/>
  </si>
  <si>
    <t>申請事項</t>
    <phoneticPr fontId="14" type="noConversion"/>
  </si>
  <si>
    <t>下列</t>
    <phoneticPr fontId="14" type="noConversion"/>
  </si>
  <si>
    <t>1.貨物</t>
    <phoneticPr fontId="14" type="noConversion"/>
  </si>
  <si>
    <t>2.實貨櫃</t>
    <phoneticPr fontId="14" type="noConversion"/>
  </si>
  <si>
    <t>3.空貨櫃</t>
    <phoneticPr fontId="14" type="noConversion"/>
  </si>
  <si>
    <t>4.-------</t>
    <phoneticPr fontId="14" type="noConversion"/>
  </si>
  <si>
    <t xml:space="preserve">  ------</t>
    <phoneticPr fontId="14" type="noConversion"/>
  </si>
  <si>
    <t>艙單號碼</t>
    <phoneticPr fontId="14" type="noConversion"/>
  </si>
  <si>
    <t>貨物名稱</t>
    <phoneticPr fontId="14" type="noConversion"/>
  </si>
  <si>
    <t>裝貨單號碼</t>
    <phoneticPr fontId="14" type="noConversion"/>
  </si>
  <si>
    <t>註:如屬業者自主管理範圍,從其規定辦理.</t>
    <phoneticPr fontId="14" type="noConversion"/>
  </si>
  <si>
    <t>特 別 准 單 申 請 表</t>
    <phoneticPr fontId="14" type="noConversion"/>
  </si>
  <si>
    <t>簡5159</t>
    <phoneticPr fontId="14" type="noConversion"/>
  </si>
  <si>
    <t>申請日期</t>
    <phoneticPr fontId="14" type="noConversion"/>
  </si>
  <si>
    <t>船名或航機班次</t>
    <phoneticPr fontId="14" type="noConversion"/>
  </si>
  <si>
    <t>受理關別</t>
    <phoneticPr fontId="14" type="noConversion"/>
  </si>
  <si>
    <t>BG</t>
    <phoneticPr fontId="14" type="noConversion"/>
  </si>
  <si>
    <t>停泊碼頭</t>
    <phoneticPr fontId="14" type="noConversion"/>
  </si>
  <si>
    <t>料羅</t>
    <phoneticPr fontId="14" type="noConversion"/>
  </si>
  <si>
    <t>口日期</t>
    <phoneticPr fontId="14" type="noConversion"/>
  </si>
  <si>
    <t>申請事項</t>
    <phoneticPr fontId="14" type="noConversion"/>
  </si>
  <si>
    <t>下列</t>
    <phoneticPr fontId="14" type="noConversion"/>
  </si>
  <si>
    <t>1.貨物</t>
    <phoneticPr fontId="14" type="noConversion"/>
  </si>
  <si>
    <t>2.實貨櫃</t>
    <phoneticPr fontId="14" type="noConversion"/>
  </si>
  <si>
    <t>3.空貨櫃</t>
    <phoneticPr fontId="14" type="noConversion"/>
  </si>
  <si>
    <t>4.-------</t>
    <phoneticPr fontId="14" type="noConversion"/>
  </si>
  <si>
    <t xml:space="preserve">  艙單號碼</t>
    <phoneticPr fontId="14" type="noConversion"/>
  </si>
  <si>
    <t>貨物名稱</t>
    <phoneticPr fontId="14" type="noConversion"/>
  </si>
  <si>
    <t>備註</t>
    <phoneticPr fontId="14" type="noConversion"/>
  </si>
  <si>
    <t xml:space="preserve">  裝貨單號碼</t>
    <phoneticPr fontId="14" type="noConversion"/>
  </si>
  <si>
    <t>上列貨櫃物,請准予依申請事項辦理有關事宜.</t>
    <phoneticPr fontId="14" type="noConversion"/>
  </si>
  <si>
    <t>此致</t>
    <phoneticPr fontId="14" type="noConversion"/>
  </si>
  <si>
    <t>申請人及負責人:</t>
    <phoneticPr fontId="14" type="noConversion"/>
  </si>
  <si>
    <t>海關處理記錄</t>
    <phoneticPr fontId="14" type="noConversion"/>
  </si>
  <si>
    <t>(1)       稽         查         單        位</t>
    <phoneticPr fontId="14" type="noConversion"/>
  </si>
  <si>
    <t>(2)      艙       單       單       位</t>
    <phoneticPr fontId="14" type="noConversion"/>
  </si>
  <si>
    <t>艙單號碼/</t>
    <phoneticPr fontId="3" type="noConversion"/>
  </si>
  <si>
    <t>新銳船務代理有限公司  代碼1312450</t>
    <phoneticPr fontId="3" type="noConversion"/>
  </si>
  <si>
    <r>
      <t xml:space="preserve"> 1</t>
    </r>
    <r>
      <rPr>
        <sz val="7.5"/>
        <rFont val="新細明體"/>
        <family val="1"/>
        <charset val="136"/>
      </rPr>
      <t>進口</t>
    </r>
    <r>
      <rPr>
        <sz val="7.5"/>
        <rFont val="Times New Roman"/>
        <family val="1"/>
      </rPr>
      <t xml:space="preserve">  2 </t>
    </r>
    <r>
      <rPr>
        <sz val="7.5"/>
        <rFont val="新細明體"/>
        <family val="1"/>
        <charset val="136"/>
      </rPr>
      <t>轉運</t>
    </r>
    <r>
      <rPr>
        <sz val="7.5"/>
        <rFont val="Times New Roman"/>
        <family val="1"/>
      </rPr>
      <t xml:space="preserve">  3</t>
    </r>
    <r>
      <rPr>
        <sz val="7.5"/>
        <rFont val="新細明體"/>
        <family val="1"/>
        <charset val="136"/>
      </rPr>
      <t>轉口</t>
    </r>
    <r>
      <rPr>
        <sz val="7.5"/>
        <rFont val="Times New Roman"/>
        <family val="1"/>
      </rPr>
      <t xml:space="preserve">  4</t>
    </r>
    <r>
      <rPr>
        <sz val="7.5"/>
        <rFont val="新細明體"/>
        <family val="1"/>
        <charset val="136"/>
      </rPr>
      <t>出口</t>
    </r>
    <r>
      <rPr>
        <sz val="7.5"/>
        <rFont val="Times New Roman"/>
        <family val="1"/>
      </rPr>
      <t xml:space="preserve"> </t>
    </r>
    <phoneticPr fontId="14" type="noConversion"/>
  </si>
  <si>
    <r>
      <t xml:space="preserve"> A CY</t>
    </r>
    <r>
      <rPr>
        <sz val="7.5"/>
        <rFont val="新細明體"/>
        <family val="1"/>
        <charset val="136"/>
      </rPr>
      <t>重櫃</t>
    </r>
    <r>
      <rPr>
        <sz val="7.5"/>
        <rFont val="Times New Roman"/>
        <family val="1"/>
      </rPr>
      <t xml:space="preserve"> B </t>
    </r>
    <r>
      <rPr>
        <sz val="7.5"/>
        <rFont val="新細明體"/>
        <family val="1"/>
        <charset val="136"/>
      </rPr>
      <t>空櫃</t>
    </r>
    <r>
      <rPr>
        <sz val="7.5"/>
        <rFont val="Times New Roman"/>
        <family val="1"/>
      </rPr>
      <t xml:space="preserve"> C </t>
    </r>
    <r>
      <rPr>
        <sz val="7.5"/>
        <rFont val="新細明體"/>
        <family val="1"/>
        <charset val="136"/>
      </rPr>
      <t>非櫃裝</t>
    </r>
    <r>
      <rPr>
        <sz val="7.5"/>
        <rFont val="Times New Roman"/>
        <family val="1"/>
      </rPr>
      <t xml:space="preserve"> D CFS</t>
    </r>
    <r>
      <rPr>
        <sz val="7.5"/>
        <rFont val="新細明體"/>
        <family val="1"/>
        <charset val="136"/>
      </rPr>
      <t>重櫃</t>
    </r>
    <phoneticPr fontId="14" type="noConversion"/>
  </si>
  <si>
    <t>船名
航次</t>
    <phoneticPr fontId="14" type="noConversion"/>
  </si>
  <si>
    <t>船隻
掛號</t>
    <phoneticPr fontId="14" type="noConversion"/>
  </si>
  <si>
    <t>S/O艙號</t>
    <phoneticPr fontId="14" type="noConversion"/>
  </si>
  <si>
    <t>貨主名稱</t>
    <phoneticPr fontId="14" type="noConversion"/>
  </si>
  <si>
    <t>放行總數量</t>
    <phoneticPr fontId="14" type="noConversion"/>
  </si>
  <si>
    <t>起運站名</t>
    <phoneticPr fontId="14" type="noConversion"/>
  </si>
  <si>
    <t>出站時間</t>
    <phoneticPr fontId="14" type="noConversion"/>
  </si>
  <si>
    <t>運往
站名</t>
    <phoneticPr fontId="14" type="noConversion"/>
  </si>
  <si>
    <t>進站時間</t>
    <phoneticPr fontId="14" type="noConversion"/>
  </si>
  <si>
    <t>通關方式</t>
    <phoneticPr fontId="14" type="noConversion"/>
  </si>
  <si>
    <t>放行條件</t>
    <phoneticPr fontId="14" type="noConversion"/>
  </si>
  <si>
    <t>本櫃車數量</t>
    <phoneticPr fontId="14" type="noConversion"/>
  </si>
  <si>
    <t>貨櫃及加封記錄</t>
    <phoneticPr fontId="14" type="noConversion"/>
  </si>
  <si>
    <t xml:space="preserve">托運記錄 </t>
    <phoneticPr fontId="14" type="noConversion"/>
  </si>
  <si>
    <t>貨櫃(物)標記號碼及型態</t>
    <phoneticPr fontId="14" type="noConversion"/>
  </si>
  <si>
    <t>封條號碼</t>
    <phoneticPr fontId="14" type="noConversion"/>
  </si>
  <si>
    <t>車行名稱</t>
    <phoneticPr fontId="14" type="noConversion"/>
  </si>
  <si>
    <t>車號</t>
    <phoneticPr fontId="14" type="noConversion"/>
  </si>
  <si>
    <t>司機姓名</t>
    <phoneticPr fontId="14" type="noConversion"/>
  </si>
  <si>
    <t>駕照號碼</t>
    <phoneticPr fontId="14" type="noConversion"/>
  </si>
  <si>
    <t xml:space="preserve"> 船公司     簽
 倉儲業     章</t>
    <phoneticPr fontId="14" type="noConversion"/>
  </si>
  <si>
    <t>核准出站提領
關員或自主簽章</t>
    <phoneticPr fontId="14" type="noConversion"/>
  </si>
  <si>
    <t>場站管制員
簽            章</t>
    <phoneticPr fontId="14" type="noConversion"/>
  </si>
  <si>
    <t>落地追蹤</t>
    <phoneticPr fontId="14" type="noConversion"/>
  </si>
  <si>
    <t>出站門哨核章
(關員港警警衛)</t>
    <phoneticPr fontId="14" type="noConversion"/>
  </si>
  <si>
    <t xml:space="preserve">進站門哨核章
(關員港警警衛) </t>
    <phoneticPr fontId="14" type="noConversion"/>
  </si>
  <si>
    <t>貨稅
物則
名號
稱別</t>
    <phoneticPr fontId="14" type="noConversion"/>
  </si>
  <si>
    <t>船名航次</t>
    <phoneticPr fontId="14" type="noConversion"/>
  </si>
  <si>
    <t>A</t>
  </si>
  <si>
    <t>KNH0010W
金門料羅</t>
    <phoneticPr fontId="3" type="noConversion"/>
  </si>
  <si>
    <t>統編</t>
  </si>
  <si>
    <t>貨櫃清單</t>
    <phoneticPr fontId="3" type="noConversion"/>
  </si>
  <si>
    <t>45G1</t>
  </si>
  <si>
    <t xml:space="preserve">中華民國 </t>
    <phoneticPr fontId="14" type="noConversion"/>
  </si>
  <si>
    <t>毛重(公斤)</t>
  </si>
  <si>
    <t>件數/單位</t>
  </si>
  <si>
    <t>毛重(公斤)</t>
    <phoneticPr fontId="3" type="noConversion"/>
  </si>
  <si>
    <t xml:space="preserve"> 件數/單位</t>
    <phoneticPr fontId="14" type="noConversion"/>
  </si>
  <si>
    <t>船名</t>
    <phoneticPr fontId="14" type="noConversion"/>
  </si>
  <si>
    <t>航次</t>
    <phoneticPr fontId="14" type="noConversion"/>
  </si>
  <si>
    <t xml:space="preserve">船舶呼號  </t>
    <phoneticPr fontId="14" type="noConversion"/>
  </si>
  <si>
    <t xml:space="preserve">船長姓名  </t>
    <phoneticPr fontId="14" type="noConversion"/>
  </si>
  <si>
    <t xml:space="preserve"> 船隻掛號</t>
    <phoneticPr fontId="14" type="noConversion"/>
  </si>
  <si>
    <t xml:space="preserve">Name of Vessel </t>
    <phoneticPr fontId="14" type="noConversion"/>
  </si>
  <si>
    <t>VOY NO</t>
    <phoneticPr fontId="14" type="noConversion"/>
  </si>
  <si>
    <t xml:space="preserve">Signal  letters </t>
    <phoneticPr fontId="14" type="noConversion"/>
  </si>
  <si>
    <t>Name of  MASTER</t>
    <phoneticPr fontId="14" type="noConversion"/>
  </si>
  <si>
    <t xml:space="preserve">VESSEL SAG MG </t>
    <phoneticPr fontId="14" type="noConversion"/>
  </si>
  <si>
    <t>船舶國籍</t>
    <phoneticPr fontId="14" type="noConversion"/>
  </si>
  <si>
    <t>總/淨噸數</t>
    <phoneticPr fontId="14" type="noConversion"/>
  </si>
  <si>
    <t>停泊港口及碼頭</t>
    <phoneticPr fontId="14" type="noConversion"/>
  </si>
  <si>
    <t>預定到港時間</t>
    <phoneticPr fontId="14" type="noConversion"/>
  </si>
  <si>
    <t>繫泊時間</t>
    <phoneticPr fontId="14" type="noConversion"/>
  </si>
  <si>
    <t xml:space="preserve">Nationality  </t>
    <phoneticPr fontId="14" type="noConversion"/>
  </si>
  <si>
    <t>G.R.T./N.R.T</t>
    <phoneticPr fontId="14" type="noConversion"/>
  </si>
  <si>
    <t xml:space="preserve">Destination </t>
    <phoneticPr fontId="14" type="noConversion"/>
  </si>
  <si>
    <t>Time of Arrival</t>
    <phoneticPr fontId="14" type="noConversion"/>
  </si>
  <si>
    <t>time  a Mooring Yeat</t>
    <phoneticPr fontId="14" type="noConversion"/>
  </si>
  <si>
    <t>料羅港KNH0010W</t>
    <phoneticPr fontId="14" type="noConversion"/>
  </si>
  <si>
    <t>艙號</t>
    <phoneticPr fontId="3" type="noConversion"/>
  </si>
  <si>
    <t>主號 B/L NO.</t>
    <phoneticPr fontId="3" type="noConversion"/>
  </si>
  <si>
    <t>分號</t>
    <phoneticPr fontId="3" type="noConversion"/>
  </si>
  <si>
    <t>貨櫃號碼</t>
    <phoneticPr fontId="3" type="noConversion"/>
  </si>
  <si>
    <t>海關封條號碼</t>
    <phoneticPr fontId="3" type="noConversion"/>
  </si>
  <si>
    <t>收貨人 (中/英文公司名稱)</t>
    <phoneticPr fontId="3" type="noConversion"/>
  </si>
  <si>
    <t>統編</t>
    <phoneticPr fontId="3" type="noConversion"/>
  </si>
  <si>
    <t>聯繫人</t>
    <phoneticPr fontId="3" type="noConversion"/>
  </si>
  <si>
    <t>卸存地代碼</t>
    <phoneticPr fontId="3" type="noConversion"/>
  </si>
  <si>
    <t>T1快遞貨物訊息</t>
    <phoneticPr fontId="3" type="noConversion"/>
  </si>
  <si>
    <t>廈門</t>
    <phoneticPr fontId="3" type="noConversion"/>
  </si>
  <si>
    <t>廈門</t>
  </si>
  <si>
    <r>
      <t>(</t>
    </r>
    <r>
      <rPr>
        <sz val="9"/>
        <color theme="1"/>
        <rFont val="細明體"/>
        <family val="3"/>
        <charset val="136"/>
      </rPr>
      <t>含分批、離</t>
    </r>
    <phoneticPr fontId="14" type="noConversion"/>
  </si>
  <si>
    <r>
      <t>/</t>
    </r>
    <r>
      <rPr>
        <sz val="10"/>
        <color theme="1"/>
        <rFont val="細明體"/>
        <family val="3"/>
        <charset val="136"/>
      </rPr>
      <t>分艙單承攬運送業代碼</t>
    </r>
  </si>
  <si>
    <t>船名</t>
  </si>
  <si>
    <t>航次</t>
  </si>
  <si>
    <t>船舶呼號</t>
  </si>
  <si>
    <t>船長姓名</t>
  </si>
  <si>
    <t>總/淨噸數</t>
  </si>
  <si>
    <t>時間</t>
  </si>
  <si>
    <t>申請日期</t>
  </si>
  <si>
    <t>KGS</t>
    <phoneticPr fontId="3" type="noConversion"/>
  </si>
  <si>
    <t>1.將貨櫃卸存本站或內陸集散站（進口報關放行）。</t>
  </si>
  <si>
    <t>2.將非櫃裝貨物押運或監視進倉存放。</t>
  </si>
  <si>
    <t>3.船邊免驗提貨（櫃）。4.船邊驗放。</t>
  </si>
  <si>
    <t>5.將轉口貨櫃或空櫃卸運入站.6.公證。7重新包裝。</t>
  </si>
  <si>
    <t>8.換櫃.9.轉運他關區貨櫃。</t>
  </si>
  <si>
    <t>海關核准章戳及時間:</t>
  </si>
  <si>
    <t>規費證號碼：</t>
  </si>
  <si>
    <t>准在關員監視下(註)</t>
  </si>
  <si>
    <t>捷豐</t>
  </si>
  <si>
    <t xml:space="preserve">10.其他:轉運至高雄港(KHH0638S ) </t>
    <phoneticPr fontId="14" type="noConversion"/>
  </si>
  <si>
    <t>KHH0638S</t>
  </si>
  <si>
    <t>KHH0638S</t>
    <phoneticPr fontId="14" type="noConversion"/>
  </si>
  <si>
    <t>KHH0638S 高雄港第一郵聯</t>
    <phoneticPr fontId="3" type="noConversion"/>
  </si>
  <si>
    <t>捷豐國際物流股份有限公司
JET-F WORLDWIDE EXPRESS CO., LTD.</t>
  </si>
  <si>
    <t>2 25148667
WU,JIA-HUA</t>
  </si>
  <si>
    <t>准單編號:料</t>
  </si>
  <si>
    <t>5501</t>
    <phoneticPr fontId="3" type="noConversion"/>
  </si>
  <si>
    <t>財政部關務署高雄關</t>
    <phoneticPr fontId="14" type="noConversion"/>
  </si>
  <si>
    <t>(3)                   分                  估                 單                位</t>
  </si>
  <si>
    <t>(4)
核
發
單
位</t>
  </si>
  <si>
    <t>輯薪輪</t>
  </si>
  <si>
    <t xml:space="preserve">BP3379 </t>
  </si>
  <si>
    <t>姜大炎</t>
  </si>
  <si>
    <t>15PAHD</t>
  </si>
  <si>
    <t>1486/445</t>
  </si>
  <si>
    <t>115/7/27</t>
  </si>
  <si>
    <t>IPC260727702EX</t>
  </si>
  <si>
    <t>TCNU9125529</t>
  </si>
  <si>
    <t>大佑輪</t>
    <phoneticPr fontId="14" type="noConversion"/>
  </si>
  <si>
    <t>R:KHH0638S
T:KNH0010W
L:CNXMN</t>
  </si>
  <si>
    <t>收貨人:JET-F WORLDWIDE EXPRESS CO., LTD.
9F.-1, No. 268, Sec. 2, Fuxing S. Rd., Da’an Dist., Taipei City 10663, Taiwan (R.O.C.)</t>
  </si>
  <si>
    <t>JET-F WORLDWIDE EXPRESS CO., LTD.</t>
  </si>
  <si>
    <t>24951752</t>
    <phoneticPr fontId="3" type="noConversion"/>
  </si>
  <si>
    <t>第一聯：港警聯</t>
  </si>
  <si>
    <t>第二聯：海關聯</t>
  </si>
  <si>
    <r>
      <t>本放行單當放行單用時，限</t>
    </r>
    <r>
      <rPr>
        <sz val="7"/>
        <rFont val="Calibri"/>
        <family val="2"/>
      </rPr>
      <t>____</t>
    </r>
    <r>
      <rPr>
        <sz val="7"/>
        <rFont val="Microsoft JhengHei"/>
        <family val="2"/>
      </rPr>
      <t>年</t>
    </r>
    <r>
      <rPr>
        <sz val="7"/>
        <rFont val="Calibri"/>
        <family val="2"/>
      </rPr>
      <t>____</t>
    </r>
    <r>
      <rPr>
        <sz val="7"/>
        <rFont val="Microsoft JhengHei"/>
        <family val="2"/>
      </rPr>
      <t>月</t>
    </r>
    <r>
      <rPr>
        <sz val="7"/>
        <rFont val="Calibri"/>
        <family val="2"/>
      </rPr>
      <t>____</t>
    </r>
    <r>
      <rPr>
        <sz val="7"/>
        <rFont val="Microsoft JhengHei"/>
        <family val="2"/>
      </rPr>
      <t>日當日進站隔日作廢</t>
    </r>
  </si>
  <si>
    <r>
      <t>--------------------------------------</t>
    </r>
    <r>
      <rPr>
        <sz val="6"/>
        <rFont val="新細明體"/>
        <family val="1"/>
        <charset val="136"/>
        <scheme val="minor"/>
      </rPr>
      <t>撕線</t>
    </r>
    <r>
      <rPr>
        <sz val="9"/>
        <rFont val="新細明體"/>
        <family val="1"/>
        <charset val="136"/>
        <scheme val="minor"/>
      </rPr>
      <t>------------------------------------------------------------------------------------------------</t>
    </r>
    <r>
      <rPr>
        <sz val="6"/>
        <rFont val="新細明體"/>
        <family val="1"/>
        <charset val="136"/>
        <scheme val="minor"/>
      </rPr>
      <t>撕線</t>
    </r>
    <r>
      <rPr>
        <sz val="9"/>
        <rFont val="新細明體"/>
        <family val="1"/>
        <charset val="136"/>
        <scheme val="minor"/>
      </rPr>
      <t>--------------------------------------</t>
    </r>
  </si>
  <si>
    <t xml:space="preserve">  進口  出口  出港</t>
    <phoneticPr fontId="14" type="noConversion"/>
  </si>
  <si>
    <t>SAME AS CONSIGNEE</t>
    <phoneticPr fontId="3" type="noConversion"/>
  </si>
  <si>
    <t>EXPRESS PACKAGE</t>
    <phoneticPr fontId="3" type="noConversion"/>
  </si>
  <si>
    <t>第三聯：進站聯</t>
    <phoneticPr fontId="3" type="noConversion"/>
  </si>
  <si>
    <r>
      <rPr>
        <sz val="12"/>
        <rFont val="微軟正黑體"/>
        <family val="2"/>
        <charset val="136"/>
      </rPr>
      <t>金門料羅    貨櫃</t>
    </r>
    <r>
      <rPr>
        <sz val="12"/>
        <rFont val="Arial"/>
        <family val="2"/>
      </rPr>
      <t>(</t>
    </r>
    <r>
      <rPr>
        <sz val="12"/>
        <rFont val="微軟正黑體"/>
        <family val="2"/>
        <charset val="136"/>
      </rPr>
      <t>物</t>
    </r>
    <r>
      <rPr>
        <sz val="12"/>
        <rFont val="Arial"/>
        <family val="2"/>
      </rPr>
      <t>)</t>
    </r>
    <r>
      <rPr>
        <sz val="12"/>
        <rFont val="微軟正黑體"/>
        <family val="2"/>
        <charset val="136"/>
      </rPr>
      <t>運送單</t>
    </r>
    <r>
      <rPr>
        <sz val="12"/>
        <rFont val="Arial"/>
        <family val="2"/>
      </rPr>
      <t>(</t>
    </r>
    <r>
      <rPr>
        <sz val="12"/>
        <rFont val="微軟正黑體"/>
        <family val="2"/>
        <charset val="136"/>
      </rPr>
      <t>兼出進站通行單</t>
    </r>
    <r>
      <rPr>
        <sz val="12"/>
        <rFont val="Arial"/>
        <family val="2"/>
      </rPr>
      <t>)</t>
    </r>
    <phoneticPr fontId="3" type="noConversion"/>
  </si>
  <si>
    <t>ESN888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</si>
</sst>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04]e/m/d;@"/>
    <numFmt numFmtId="177" formatCode="m&quot;月&quot;d&quot;日&quot;"/>
    <numFmt numFmtId="178" formatCode="####&quot;PKG&quot;"/>
    <numFmt numFmtId="179" formatCode="#,##0.000"/>
    <numFmt numFmtId="180" formatCode="####.000&quot;KGS&quot;"/>
    <numFmt numFmtId="181" formatCode="0.000"/>
    <numFmt numFmtId="182" formatCode="yyyy&quot;.&quot;m&quot;.&quot;d&quot;&quot;"/>
  </numFmts>
  <fonts count="81">
    <font>
      <sz val="11"/>
      <color theme="1"/>
      <name val="新細明體"/>
      <family val="2"/>
      <scheme val="minor"/>
    </font>
    <font>
      <sz val="10"/>
      <color theme="1"/>
      <name val="細明體"/>
      <family val="3"/>
      <charset val="136"/>
    </font>
    <font>
      <sz val="11"/>
      <color theme="1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color rgb="FF000000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20"/>
      <color rgb="FF000000"/>
      <name val="細明體"/>
      <family val="3"/>
      <charset val="136"/>
    </font>
    <font>
      <sz val="28"/>
      <color rgb="FF000000"/>
      <name val="標楷體"/>
      <family val="4"/>
      <charset val="136"/>
    </font>
    <font>
      <sz val="20"/>
      <color rgb="FF00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0"/>
      <color rgb="FF000000"/>
      <name val="細明體"/>
      <family val="3"/>
      <charset val="136"/>
    </font>
    <font>
      <sz val="18"/>
      <color rgb="FF000000"/>
      <name val="細明體"/>
      <family val="3"/>
      <charset val="136"/>
    </font>
    <font>
      <sz val="10"/>
      <color rgb="FF000000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b/>
      <sz val="24"/>
      <name val="標楷體"/>
      <family val="4"/>
      <charset val="136"/>
    </font>
    <font>
      <b/>
      <sz val="12"/>
      <name val="新細明體"/>
      <family val="1"/>
      <charset val="136"/>
    </font>
    <font>
      <sz val="13"/>
      <name val="標楷體"/>
      <family val="4"/>
      <charset val="136"/>
    </font>
    <font>
      <sz val="13"/>
      <color indexed="10"/>
      <name val="標楷體"/>
      <family val="4"/>
      <charset val="136"/>
    </font>
    <font>
      <sz val="13"/>
      <color rgb="FFFF0000"/>
      <name val="標楷體"/>
      <family val="4"/>
      <charset val="136"/>
    </font>
    <font>
      <sz val="13"/>
      <name val="新細明體"/>
      <family val="1"/>
      <charset val="136"/>
    </font>
    <font>
      <i/>
      <sz val="12"/>
      <name val="新細明體"/>
      <family val="1"/>
      <charset val="136"/>
    </font>
    <font>
      <b/>
      <sz val="14"/>
      <name val="新細明體"/>
      <family val="1"/>
      <charset val="136"/>
    </font>
    <font>
      <b/>
      <sz val="13"/>
      <name val="標楷體"/>
      <family val="4"/>
      <charset val="136"/>
    </font>
    <font>
      <sz val="7.5"/>
      <name val="新細明體"/>
      <family val="1"/>
      <charset val="136"/>
    </font>
    <font>
      <sz val="7.5"/>
      <name val="Times New Roman"/>
      <family val="1"/>
    </font>
    <font>
      <sz val="8"/>
      <name val="新細明體"/>
      <family val="1"/>
      <charset val="136"/>
    </font>
    <font>
      <sz val="11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7.5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4"/>
      <name val="標楷體"/>
      <family val="4"/>
      <charset val="136"/>
    </font>
    <font>
      <sz val="14"/>
      <name val="Times New Roman"/>
      <family val="1"/>
    </font>
    <font>
      <sz val="11"/>
      <color rgb="FFFF0000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6"/>
      <color theme="1"/>
      <name val="新細明體"/>
      <family val="1"/>
      <charset val="136"/>
      <scheme val="minor"/>
    </font>
    <font>
      <b/>
      <sz val="10"/>
      <color theme="1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20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標楷體"/>
      <family val="4"/>
      <charset val="136"/>
    </font>
    <font>
      <sz val="9"/>
      <color theme="1"/>
      <name val="Times New Roman"/>
      <family val="1"/>
    </font>
    <font>
      <sz val="9"/>
      <color theme="1"/>
      <name val="細明體"/>
      <family val="3"/>
      <charset val="136"/>
    </font>
    <font>
      <sz val="10"/>
      <color theme="1"/>
      <name val="新細明體"/>
      <family val="1"/>
      <charset val="136"/>
    </font>
    <font>
      <sz val="10.5"/>
      <color theme="1"/>
      <name val="細明體"/>
      <family val="3"/>
      <charset val="136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1"/>
      <color rgb="FF000000"/>
      <name val="標楷體"/>
      <family val="4"/>
      <charset val="136"/>
    </font>
    <font>
      <sz val="11"/>
      <name val="新細明體"/>
      <family val="2"/>
      <scheme val="minor"/>
    </font>
    <font>
      <sz val="14"/>
      <color theme="1"/>
      <name val="細明體"/>
      <family val="3"/>
      <charset val="136"/>
    </font>
    <font>
      <sz val="14"/>
      <color rgb="FF00000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  <font>
      <sz val="14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4"/>
      <color theme="1"/>
      <name val="宋体"/>
      <family val="3"/>
      <charset val="136"/>
    </font>
    <font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2"/>
      <color rgb="FF000000"/>
      <name val="宋体"/>
    </font>
    <font>
      <sz val="7"/>
      <name val="Microsoft JhengHei"/>
      <family val="2"/>
    </font>
    <font>
      <sz val="7"/>
      <name val="Calibri"/>
      <family val="2"/>
    </font>
    <font>
      <sz val="9"/>
      <name val="新細明體"/>
      <family val="1"/>
      <charset val="136"/>
      <scheme val="minor"/>
    </font>
    <font>
      <sz val="6"/>
      <name val="新細明體"/>
      <family val="1"/>
      <charset val="136"/>
      <scheme val="minor"/>
    </font>
    <font>
      <sz val="9"/>
      <color rgb="FF000000"/>
      <name val="細明體"/>
      <family val="3"/>
      <charset val="136"/>
    </font>
    <font>
      <sz val="12"/>
      <name val="Arial"/>
      <family val="2"/>
    </font>
    <font>
      <sz val="12"/>
      <name val="Arial Unicode MS"/>
      <family val="2"/>
    </font>
    <font>
      <sz val="12"/>
      <name val="微軟正黑體"/>
      <family val="2"/>
      <charset val="136"/>
    </font>
    <font>
      <sz val="12"/>
      <name val="Arial Unicode MS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DEDED"/>
        <bgColor rgb="FFEDEDED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indexed="64"/>
      </left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A5A5A5"/>
      </left>
      <right style="thin">
        <color rgb="FFA5A5A5"/>
      </right>
      <top style="thin">
        <color theme="6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36" fillId="0" borderId="0"/>
  </cellStyleXfs>
  <cellXfs count="474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/>
    </xf>
    <xf numFmtId="0" fontId="10" fillId="0" borderId="0" xfId="0" applyFont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3" fillId="0" borderId="0" xfId="1">
      <alignment vertical="center"/>
    </xf>
    <xf numFmtId="0" fontId="18" fillId="0" borderId="14" xfId="1" applyFont="1" applyBorder="1">
      <alignment vertical="center"/>
    </xf>
    <xf numFmtId="0" fontId="22" fillId="0" borderId="0" xfId="1" applyFont="1">
      <alignment vertical="center"/>
    </xf>
    <xf numFmtId="0" fontId="13" fillId="0" borderId="0" xfId="1" applyBorder="1" applyAlignment="1">
      <alignment horizontal="center" vertical="center"/>
    </xf>
    <xf numFmtId="0" fontId="13" fillId="0" borderId="0" xfId="1" applyBorder="1" applyAlignment="1">
      <alignment horizontal="left" vertical="center"/>
    </xf>
    <xf numFmtId="0" fontId="23" fillId="0" borderId="0" xfId="1" applyFont="1" applyBorder="1">
      <alignment vertical="center"/>
    </xf>
    <xf numFmtId="0" fontId="23" fillId="0" borderId="0" xfId="1" applyFont="1">
      <alignment vertical="center"/>
    </xf>
    <xf numFmtId="0" fontId="17" fillId="0" borderId="0" xfId="1" applyFont="1" applyBorder="1" applyAlignment="1">
      <alignment vertical="center"/>
    </xf>
    <xf numFmtId="0" fontId="24" fillId="0" borderId="14" xfId="1" applyFont="1" applyBorder="1">
      <alignment vertical="center"/>
    </xf>
    <xf numFmtId="0" fontId="24" fillId="0" borderId="14" xfId="1" applyFont="1" applyBorder="1" applyAlignment="1">
      <alignment horizontal="center" vertical="center"/>
    </xf>
    <xf numFmtId="0" fontId="18" fillId="0" borderId="14" xfId="1" applyFont="1" applyFill="1" applyBorder="1">
      <alignment vertical="center"/>
    </xf>
    <xf numFmtId="0" fontId="21" fillId="0" borderId="17" xfId="1" applyFont="1" applyBorder="1">
      <alignment vertical="center"/>
    </xf>
    <xf numFmtId="0" fontId="21" fillId="0" borderId="14" xfId="1" applyFont="1" applyBorder="1">
      <alignment vertical="center"/>
    </xf>
    <xf numFmtId="0" fontId="13" fillId="0" borderId="0" xfId="3"/>
    <xf numFmtId="0" fontId="26" fillId="0" borderId="0" xfId="3" applyFont="1" applyAlignment="1">
      <alignment vertical="top"/>
    </xf>
    <xf numFmtId="0" fontId="26" fillId="0" borderId="0" xfId="3" applyFont="1" applyAlignment="1">
      <alignment vertical="center"/>
    </xf>
    <xf numFmtId="0" fontId="25" fillId="0" borderId="27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1" xfId="3" applyFont="1" applyBorder="1" applyAlignment="1">
      <alignment horizontal="center" vertical="center" shrinkToFit="1"/>
    </xf>
    <xf numFmtId="0" fontId="13" fillId="0" borderId="31" xfId="3" applyFont="1" applyBorder="1" applyAlignment="1">
      <alignment horizontal="left" vertical="center" shrinkToFit="1"/>
    </xf>
    <xf numFmtId="0" fontId="25" fillId="0" borderId="33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27" fillId="0" borderId="1" xfId="3" applyFont="1" applyBorder="1" applyAlignment="1">
      <alignment horizontal="left" vertical="center"/>
    </xf>
    <xf numFmtId="0" fontId="25" fillId="0" borderId="31" xfId="3" applyFont="1" applyBorder="1" applyAlignment="1">
      <alignment horizontal="left" vertical="center" shrinkToFit="1"/>
    </xf>
    <xf numFmtId="0" fontId="13" fillId="0" borderId="31" xfId="3" applyFont="1" applyBorder="1" applyAlignment="1">
      <alignment horizontal="left" vertical="center" wrapText="1"/>
    </xf>
    <xf numFmtId="0" fontId="29" fillId="0" borderId="0" xfId="3" applyFont="1"/>
    <xf numFmtId="0" fontId="25" fillId="0" borderId="31" xfId="3" applyFont="1" applyBorder="1" applyAlignment="1">
      <alignment horizontal="center" vertical="top" wrapText="1" shrinkToFit="1"/>
    </xf>
    <xf numFmtId="0" fontId="25" fillId="0" borderId="1" xfId="3" applyFont="1" applyBorder="1" applyAlignment="1">
      <alignment horizontal="left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wrapText="1"/>
    </xf>
    <xf numFmtId="49" fontId="25" fillId="0" borderId="31" xfId="3" applyNumberFormat="1" applyFont="1" applyBorder="1" applyAlignment="1">
      <alignment horizontal="left" vertical="center" wrapText="1"/>
    </xf>
    <xf numFmtId="49" fontId="25" fillId="0" borderId="31" xfId="3" applyNumberFormat="1" applyFont="1" applyBorder="1" applyAlignment="1">
      <alignment horizontal="left" vertical="center" shrinkToFit="1"/>
    </xf>
    <xf numFmtId="49" fontId="31" fillId="3" borderId="34" xfId="0" applyNumberFormat="1" applyFont="1" applyFill="1" applyBorder="1" applyAlignment="1">
      <alignment horizontal="center" vertical="center" wrapText="1"/>
    </xf>
    <xf numFmtId="0" fontId="13" fillId="0" borderId="0" xfId="1" applyFont="1" applyFill="1">
      <alignment vertical="center"/>
    </xf>
    <xf numFmtId="0" fontId="13" fillId="0" borderId="0" xfId="3" applyAlignment="1">
      <alignment horizontal="right"/>
    </xf>
    <xf numFmtId="178" fontId="13" fillId="0" borderId="31" xfId="3" applyNumberFormat="1" applyFont="1" applyBorder="1" applyAlignment="1">
      <alignment horizontal="right" vertical="center" shrinkToFit="1"/>
    </xf>
    <xf numFmtId="0" fontId="13" fillId="0" borderId="31" xfId="3" applyNumberFormat="1" applyFont="1" applyBorder="1" applyAlignment="1">
      <alignment horizontal="center" vertical="center" shrinkToFit="1"/>
    </xf>
    <xf numFmtId="0" fontId="37" fillId="0" borderId="0" xfId="4" applyFont="1" applyFill="1" applyAlignment="1">
      <alignment horizontal="left" vertical="center"/>
    </xf>
    <xf numFmtId="0" fontId="37" fillId="0" borderId="0" xfId="4" applyFont="1" applyFill="1"/>
    <xf numFmtId="182" fontId="37" fillId="0" borderId="0" xfId="4" applyNumberFormat="1" applyFont="1" applyFill="1" applyAlignment="1">
      <alignment horizontal="center"/>
    </xf>
    <xf numFmtId="0" fontId="36" fillId="0" borderId="0" xfId="4" applyFill="1"/>
    <xf numFmtId="0" fontId="39" fillId="0" borderId="0" xfId="4" applyFont="1" applyFill="1"/>
    <xf numFmtId="0" fontId="40" fillId="0" borderId="0" xfId="4" applyFont="1" applyFill="1"/>
    <xf numFmtId="0" fontId="40" fillId="0" borderId="0" xfId="4" applyFont="1" applyFill="1" applyAlignment="1">
      <alignment horizontal="left"/>
    </xf>
    <xf numFmtId="0" fontId="41" fillId="0" borderId="0" xfId="4" applyFont="1" applyFill="1"/>
    <xf numFmtId="49" fontId="39" fillId="0" borderId="36" xfId="4" applyNumberFormat="1" applyFont="1" applyFill="1" applyBorder="1" applyAlignment="1">
      <alignment horizontal="center" vertical="center"/>
    </xf>
    <xf numFmtId="49" fontId="40" fillId="0" borderId="0" xfId="4" applyNumberFormat="1" applyFont="1" applyFill="1" applyAlignment="1">
      <alignment vertical="center" wrapText="1"/>
    </xf>
    <xf numFmtId="49" fontId="40" fillId="0" borderId="0" xfId="4" applyNumberFormat="1" applyFont="1" applyFill="1" applyAlignment="1">
      <alignment vertical="center"/>
    </xf>
    <xf numFmtId="49" fontId="42" fillId="0" borderId="0" xfId="4" applyNumberFormat="1" applyFont="1" applyFill="1" applyAlignment="1">
      <alignment vertical="center"/>
    </xf>
    <xf numFmtId="49" fontId="12" fillId="0" borderId="0" xfId="4" applyNumberFormat="1" applyFont="1" applyAlignment="1">
      <alignment vertical="center" wrapText="1"/>
    </xf>
    <xf numFmtId="49" fontId="12" fillId="0" borderId="0" xfId="4" applyNumberFormat="1" applyFont="1" applyAlignment="1">
      <alignment vertical="center"/>
    </xf>
    <xf numFmtId="49" fontId="31" fillId="0" borderId="0" xfId="4" applyNumberFormat="1" applyFont="1" applyAlignment="1">
      <alignment vertical="center"/>
    </xf>
    <xf numFmtId="49" fontId="12" fillId="0" borderId="34" xfId="4" applyNumberFormat="1" applyFont="1" applyBorder="1" applyAlignment="1">
      <alignment horizontal="left" vertical="center" wrapText="1"/>
    </xf>
    <xf numFmtId="49" fontId="12" fillId="0" borderId="38" xfId="4" applyNumberFormat="1" applyFont="1" applyBorder="1" applyAlignment="1">
      <alignment vertical="center"/>
    </xf>
    <xf numFmtId="49" fontId="12" fillId="0" borderId="38" xfId="4" applyNumberFormat="1" applyFont="1" applyBorder="1" applyAlignment="1">
      <alignment horizontal="left" vertical="center" wrapText="1"/>
    </xf>
    <xf numFmtId="0" fontId="36" fillId="0" borderId="0" xfId="4" applyFill="1" applyAlignment="1">
      <alignment horizontal="center"/>
    </xf>
    <xf numFmtId="0" fontId="40" fillId="0" borderId="36" xfId="4" applyNumberFormat="1" applyFont="1" applyBorder="1" applyAlignment="1">
      <alignment horizontal="center" vertical="center"/>
    </xf>
    <xf numFmtId="0" fontId="42" fillId="0" borderId="36" xfId="4" applyNumberFormat="1" applyFont="1" applyBorder="1" applyAlignment="1">
      <alignment horizontal="center" vertical="center"/>
    </xf>
    <xf numFmtId="0" fontId="42" fillId="0" borderId="36" xfId="4" applyNumberFormat="1" applyFont="1" applyBorder="1" applyAlignment="1">
      <alignment horizontal="center" vertical="center" wrapText="1"/>
    </xf>
    <xf numFmtId="0" fontId="32" fillId="0" borderId="37" xfId="4" applyNumberFormat="1" applyFont="1" applyBorder="1" applyAlignment="1">
      <alignment horizontal="left" vertical="center" wrapText="1"/>
    </xf>
    <xf numFmtId="0" fontId="47" fillId="0" borderId="0" xfId="1" applyFont="1" applyFill="1">
      <alignment vertical="center"/>
    </xf>
    <xf numFmtId="0" fontId="47" fillId="0" borderId="0" xfId="0" applyFont="1" applyAlignment="1">
      <alignment vertical="center"/>
    </xf>
    <xf numFmtId="0" fontId="51" fillId="0" borderId="16" xfId="1" applyFont="1" applyFill="1" applyBorder="1" applyAlignment="1">
      <alignment horizontal="center" vertical="center"/>
    </xf>
    <xf numFmtId="0" fontId="51" fillId="0" borderId="17" xfId="1" applyFont="1" applyFill="1" applyBorder="1" applyAlignment="1">
      <alignment horizontal="center" vertical="center"/>
    </xf>
    <xf numFmtId="0" fontId="51" fillId="0" borderId="18" xfId="1" applyFont="1" applyFill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7" fillId="0" borderId="0" xfId="1" applyFont="1" applyFill="1" applyBorder="1">
      <alignment vertical="center"/>
    </xf>
    <xf numFmtId="0" fontId="47" fillId="0" borderId="0" xfId="1" applyFont="1" applyFill="1" applyAlignment="1">
      <alignment vertical="center" wrapText="1"/>
    </xf>
    <xf numFmtId="0" fontId="47" fillId="0" borderId="0" xfId="1" applyFont="1" applyFill="1" applyAlignment="1">
      <alignment horizontal="left" vertical="center" wrapText="1"/>
    </xf>
    <xf numFmtId="0" fontId="47" fillId="0" borderId="0" xfId="1" applyFont="1" applyFill="1" applyBorder="1" applyAlignment="1">
      <alignment vertical="center" wrapText="1"/>
    </xf>
    <xf numFmtId="0" fontId="46" fillId="0" borderId="0" xfId="0" applyFont="1" applyBorder="1" applyAlignment="1">
      <alignment horizontal="center" vertical="center" wrapText="1"/>
    </xf>
    <xf numFmtId="0" fontId="46" fillId="0" borderId="19" xfId="1" applyFont="1" applyFill="1" applyBorder="1" applyAlignment="1">
      <alignment horizontal="center" vertical="center" shrinkToFit="1"/>
    </xf>
    <xf numFmtId="0" fontId="46" fillId="0" borderId="19" xfId="1" applyFont="1" applyFill="1" applyBorder="1" applyAlignment="1">
      <alignment vertical="center" shrinkToFit="1"/>
    </xf>
    <xf numFmtId="0" fontId="50" fillId="0" borderId="19" xfId="1" applyFont="1" applyFill="1" applyBorder="1" applyAlignment="1">
      <alignment horizontal="center" vertical="center" shrinkToFit="1"/>
    </xf>
    <xf numFmtId="0" fontId="47" fillId="0" borderId="0" xfId="0" applyFont="1" applyFill="1" applyAlignment="1">
      <alignment vertical="center"/>
    </xf>
    <xf numFmtId="0" fontId="46" fillId="0" borderId="15" xfId="1" applyFont="1" applyFill="1" applyBorder="1" applyAlignment="1">
      <alignment vertical="center" shrinkToFit="1"/>
    </xf>
    <xf numFmtId="0" fontId="46" fillId="0" borderId="14" xfId="1" applyFont="1" applyFill="1" applyBorder="1" applyAlignment="1">
      <alignment vertical="center" shrinkToFit="1"/>
    </xf>
    <xf numFmtId="0" fontId="46" fillId="0" borderId="0" xfId="1" applyFont="1" applyFill="1" applyBorder="1" applyAlignment="1">
      <alignment vertical="center" shrinkToFit="1"/>
    </xf>
    <xf numFmtId="0" fontId="46" fillId="0" borderId="22" xfId="1" applyFont="1" applyFill="1" applyBorder="1" applyAlignment="1">
      <alignment vertical="center" shrinkToFit="1"/>
    </xf>
    <xf numFmtId="49" fontId="54" fillId="0" borderId="23" xfId="1" applyNumberFormat="1" applyFont="1" applyFill="1" applyBorder="1" applyAlignment="1">
      <alignment horizontal="center" vertical="center"/>
    </xf>
    <xf numFmtId="0" fontId="56" fillId="0" borderId="21" xfId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1" fillId="0" borderId="0" xfId="0" applyFont="1"/>
    <xf numFmtId="181" fontId="59" fillId="0" borderId="20" xfId="0" applyNumberFormat="1" applyFont="1" applyFill="1" applyBorder="1" applyAlignment="1">
      <alignment vertical="center" wrapText="1"/>
    </xf>
    <xf numFmtId="180" fontId="15" fillId="0" borderId="21" xfId="2" applyNumberFormat="1" applyFont="1" applyFill="1" applyBorder="1" applyAlignment="1">
      <alignment vertical="center" wrapText="1" shrinkToFit="1"/>
    </xf>
    <xf numFmtId="0" fontId="38" fillId="0" borderId="40" xfId="4" applyFont="1" applyFill="1" applyBorder="1" applyAlignment="1">
      <alignment horizontal="center"/>
    </xf>
    <xf numFmtId="49" fontId="39" fillId="0" borderId="41" xfId="4" applyNumberFormat="1" applyFont="1" applyFill="1" applyBorder="1" applyAlignment="1">
      <alignment horizontal="center" vertical="center"/>
    </xf>
    <xf numFmtId="0" fontId="40" fillId="0" borderId="41" xfId="4" applyNumberFormat="1" applyFont="1" applyBorder="1" applyAlignment="1">
      <alignment horizontal="center" vertical="center"/>
    </xf>
    <xf numFmtId="0" fontId="42" fillId="0" borderId="41" xfId="4" applyNumberFormat="1" applyFont="1" applyBorder="1" applyAlignment="1">
      <alignment horizontal="center" vertical="center"/>
    </xf>
    <xf numFmtId="0" fontId="42" fillId="0" borderId="41" xfId="4" applyNumberFormat="1" applyFont="1" applyBorder="1" applyAlignment="1">
      <alignment horizontal="center" vertical="center" wrapText="1"/>
    </xf>
    <xf numFmtId="0" fontId="32" fillId="0" borderId="39" xfId="4" applyNumberFormat="1" applyFont="1" applyBorder="1" applyAlignment="1">
      <alignment horizontal="left" vertical="center" wrapText="1"/>
    </xf>
    <xf numFmtId="49" fontId="64" fillId="0" borderId="0" xfId="4" applyNumberFormat="1" applyFont="1" applyFill="1" applyBorder="1" applyAlignment="1">
      <alignment horizontal="center" vertical="center"/>
    </xf>
    <xf numFmtId="0" fontId="42" fillId="0" borderId="0" xfId="4" applyNumberFormat="1" applyFont="1" applyBorder="1" applyAlignment="1">
      <alignment horizontal="center" vertical="center"/>
    </xf>
    <xf numFmtId="0" fontId="62" fillId="0" borderId="0" xfId="4" applyNumberFormat="1" applyFont="1" applyBorder="1" applyAlignment="1">
      <alignment horizontal="left" vertical="center" wrapText="1"/>
    </xf>
    <xf numFmtId="0" fontId="63" fillId="0" borderId="0" xfId="4" applyNumberFormat="1" applyFont="1" applyBorder="1" applyAlignment="1">
      <alignment horizontal="left" vertical="center" wrapText="1"/>
    </xf>
    <xf numFmtId="0" fontId="35" fillId="0" borderId="0" xfId="0" applyNumberFormat="1" applyFont="1" applyBorder="1" applyAlignment="1">
      <alignment vertical="center"/>
    </xf>
    <xf numFmtId="49" fontId="65" fillId="0" borderId="0" xfId="4" applyNumberFormat="1" applyFont="1" applyFill="1" applyBorder="1" applyAlignment="1">
      <alignment horizontal="left"/>
    </xf>
    <xf numFmtId="181" fontId="32" fillId="0" borderId="0" xfId="0" applyNumberFormat="1" applyFont="1" applyBorder="1" applyAlignment="1">
      <alignment horizontal="center" vertical="center"/>
    </xf>
    <xf numFmtId="0" fontId="31" fillId="0" borderId="0" xfId="0" applyFont="1" applyAlignment="1">
      <alignment wrapText="1"/>
    </xf>
    <xf numFmtId="0" fontId="31" fillId="0" borderId="0" xfId="0" applyFont="1" applyAlignment="1">
      <alignment horizontal="left"/>
    </xf>
    <xf numFmtId="176" fontId="31" fillId="0" borderId="0" xfId="0" applyNumberFormat="1" applyFont="1" applyAlignment="1">
      <alignment horizontal="left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68" fillId="0" borderId="0" xfId="0" applyFont="1" applyFill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49" fontId="12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vertical="center"/>
    </xf>
    <xf numFmtId="49" fontId="61" fillId="0" borderId="0" xfId="0" applyNumberFormat="1" applyFont="1" applyAlignment="1">
      <alignment vertical="center"/>
    </xf>
    <xf numFmtId="0" fontId="69" fillId="0" borderId="0" xfId="4" applyNumberFormat="1" applyFont="1" applyBorder="1" applyAlignment="1">
      <alignment horizontal="center" vertical="center"/>
    </xf>
    <xf numFmtId="0" fontId="0" fillId="4" borderId="0" xfId="0" applyFill="1"/>
    <xf numFmtId="0" fontId="70" fillId="0" borderId="17" xfId="0" applyFont="1" applyBorder="1" applyAlignment="1">
      <alignment horizontal="right" vertical="center"/>
    </xf>
    <xf numFmtId="0" fontId="17" fillId="0" borderId="17" xfId="1" applyFont="1" applyBorder="1" applyAlignment="1">
      <alignment horizontal="right" vertical="center"/>
    </xf>
    <xf numFmtId="0" fontId="17" fillId="0" borderId="17" xfId="1" applyFont="1" applyBorder="1" applyAlignment="1">
      <alignment horizontal="left" vertical="center"/>
    </xf>
    <xf numFmtId="0" fontId="47" fillId="0" borderId="23" xfId="0" applyFont="1" applyFill="1" applyBorder="1" applyAlignment="1">
      <alignment vertical="center" wrapText="1"/>
    </xf>
    <xf numFmtId="0" fontId="46" fillId="0" borderId="0" xfId="0" applyFont="1" applyBorder="1"/>
    <xf numFmtId="0" fontId="47" fillId="0" borderId="0" xfId="0" applyFont="1" applyBorder="1" applyAlignment="1">
      <alignment horizontal="left" vertical="center" wrapText="1"/>
    </xf>
    <xf numFmtId="0" fontId="47" fillId="0" borderId="0" xfId="0" applyFont="1" applyBorder="1" applyAlignment="1">
      <alignment vertical="center" wrapText="1"/>
    </xf>
    <xf numFmtId="0" fontId="47" fillId="0" borderId="0" xfId="0" applyFont="1" applyBorder="1" applyAlignment="1">
      <alignment vertical="center"/>
    </xf>
    <xf numFmtId="0" fontId="18" fillId="0" borderId="17" xfId="1" applyFont="1" applyBorder="1">
      <alignment vertical="center"/>
    </xf>
    <xf numFmtId="0" fontId="18" fillId="0" borderId="10" xfId="1" applyFont="1" applyBorder="1">
      <alignment vertical="center"/>
    </xf>
    <xf numFmtId="0" fontId="18" fillId="0" borderId="12" xfId="1" applyFont="1" applyBorder="1">
      <alignment vertical="center"/>
    </xf>
    <xf numFmtId="0" fontId="18" fillId="0" borderId="16" xfId="1" applyFont="1" applyBorder="1">
      <alignment vertical="center"/>
    </xf>
    <xf numFmtId="0" fontId="18" fillId="0" borderId="18" xfId="1" applyFont="1" applyBorder="1">
      <alignment vertical="center"/>
    </xf>
    <xf numFmtId="0" fontId="18" fillId="0" borderId="11" xfId="1" applyFont="1" applyBorder="1">
      <alignment vertical="center"/>
    </xf>
    <xf numFmtId="0" fontId="18" fillId="0" borderId="14" xfId="1" applyFont="1" applyBorder="1">
      <alignment vertical="center"/>
    </xf>
    <xf numFmtId="0" fontId="18" fillId="0" borderId="15" xfId="1" applyFont="1" applyBorder="1">
      <alignment vertical="center"/>
    </xf>
    <xf numFmtId="0" fontId="18" fillId="0" borderId="0" xfId="1" applyFont="1" applyBorder="1">
      <alignment vertical="center"/>
    </xf>
    <xf numFmtId="0" fontId="23" fillId="0" borderId="0" xfId="1" applyFont="1" applyBorder="1">
      <alignment vertical="center"/>
    </xf>
    <xf numFmtId="0" fontId="17" fillId="0" borderId="0" xfId="1" applyFont="1" applyBorder="1" applyAlignment="1">
      <alignment vertical="center"/>
    </xf>
    <xf numFmtId="0" fontId="18" fillId="0" borderId="19" xfId="1" applyFont="1" applyBorder="1">
      <alignment vertical="center"/>
    </xf>
    <xf numFmtId="0" fontId="13" fillId="0" borderId="0" xfId="1" applyBorder="1">
      <alignment vertical="center"/>
    </xf>
    <xf numFmtId="0" fontId="18" fillId="0" borderId="23" xfId="1" applyFont="1" applyFill="1" applyBorder="1" applyAlignment="1">
      <alignment vertical="center" wrapText="1"/>
    </xf>
    <xf numFmtId="0" fontId="21" fillId="0" borderId="18" xfId="1" applyFont="1" applyBorder="1">
      <alignment vertical="center"/>
    </xf>
    <xf numFmtId="0" fontId="47" fillId="0" borderId="0" xfId="1" applyFont="1" applyFill="1" applyBorder="1">
      <alignment vertical="center"/>
    </xf>
    <xf numFmtId="0" fontId="47" fillId="0" borderId="0" xfId="1" applyFont="1" applyFill="1" applyBorder="1" applyAlignment="1">
      <alignment vertical="center" wrapText="1"/>
    </xf>
    <xf numFmtId="0" fontId="55" fillId="0" borderId="23" xfId="0" quotePrefix="1" applyFont="1" applyFill="1" applyBorder="1" applyAlignment="1">
      <alignment horizontal="center" vertical="center"/>
    </xf>
    <xf numFmtId="0" fontId="68" fillId="0" borderId="0" xfId="1" applyFont="1" applyFill="1" applyAlignment="1">
      <alignment vertical="center" wrapText="1"/>
    </xf>
    <xf numFmtId="0" fontId="18" fillId="0" borderId="0" xfId="0" applyFont="1" applyBorder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47" fillId="0" borderId="0" xfId="1" applyFont="1" applyFill="1" applyBorder="1" applyAlignment="1">
      <alignment horizontal="left" vertical="center" wrapText="1"/>
    </xf>
    <xf numFmtId="0" fontId="47" fillId="0" borderId="0" xfId="0" applyNumberFormat="1" applyFont="1" applyBorder="1" applyAlignment="1">
      <alignment vertical="center" wrapText="1"/>
    </xf>
    <xf numFmtId="0" fontId="47" fillId="0" borderId="0" xfId="0" applyNumberFormat="1" applyFont="1" applyBorder="1" applyAlignment="1">
      <alignment horizontal="left" vertical="center" wrapText="1"/>
    </xf>
    <xf numFmtId="0" fontId="47" fillId="0" borderId="0" xfId="0" applyNumberFormat="1" applyFont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1" fillId="0" borderId="14" xfId="1" applyFont="1" applyBorder="1" applyAlignment="1">
      <alignment vertical="center"/>
    </xf>
    <xf numFmtId="176" fontId="19" fillId="0" borderId="0" xfId="1" applyNumberFormat="1" applyFont="1" applyBorder="1" applyAlignment="1">
      <alignment vertical="center"/>
    </xf>
    <xf numFmtId="0" fontId="18" fillId="0" borderId="0" xfId="1" applyFont="1" applyBorder="1" applyAlignment="1">
      <alignment vertical="center"/>
    </xf>
    <xf numFmtId="0" fontId="18" fillId="0" borderId="0" xfId="1" applyFont="1" applyFill="1" applyBorder="1" applyAlignment="1">
      <alignment vertical="center"/>
    </xf>
    <xf numFmtId="0" fontId="18" fillId="0" borderId="0" xfId="1" applyFont="1" applyBorder="1" applyAlignment="1">
      <alignment horizontal="center" vertical="center"/>
    </xf>
    <xf numFmtId="0" fontId="18" fillId="0" borderId="13" xfId="1" applyFont="1" applyBorder="1">
      <alignment vertical="center"/>
    </xf>
    <xf numFmtId="0" fontId="18" fillId="0" borderId="22" xfId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81" fontId="2" fillId="0" borderId="2" xfId="0" applyNumberFormat="1" applyFont="1" applyBorder="1" applyAlignment="1">
      <alignment horizontal="left" vertical="center" wrapText="1"/>
    </xf>
    <xf numFmtId="0" fontId="13" fillId="0" borderId="0" xfId="3" applyAlignment="1"/>
    <xf numFmtId="0" fontId="46" fillId="0" borderId="13" xfId="1" applyFont="1" applyFill="1" applyBorder="1" applyAlignment="1">
      <alignment horizontal="left" vertical="center" shrinkToFit="1"/>
    </xf>
    <xf numFmtId="0" fontId="46" fillId="0" borderId="13" xfId="1" applyFont="1" applyFill="1" applyBorder="1" applyAlignment="1">
      <alignment horizontal="left" vertical="center" wrapText="1" shrinkToFit="1"/>
    </xf>
    <xf numFmtId="0" fontId="50" fillId="0" borderId="19" xfId="1" applyFont="1" applyFill="1" applyBorder="1" applyAlignment="1">
      <alignment horizontal="left" vertical="center" shrinkToFit="1"/>
    </xf>
    <xf numFmtId="0" fontId="46" fillId="0" borderId="19" xfId="1" applyFont="1" applyFill="1" applyBorder="1" applyAlignment="1">
      <alignment horizontal="left" vertical="center" shrinkToFit="1"/>
    </xf>
    <xf numFmtId="0" fontId="46" fillId="0" borderId="19" xfId="1" applyFont="1" applyFill="1" applyBorder="1" applyAlignment="1">
      <alignment horizontal="left" vertical="center" wrapText="1" shrinkToFit="1"/>
    </xf>
    <xf numFmtId="0" fontId="52" fillId="0" borderId="19" xfId="1" applyFont="1" applyFill="1" applyBorder="1" applyAlignment="1">
      <alignment horizontal="left" vertical="center" wrapText="1" shrinkToFit="1"/>
    </xf>
    <xf numFmtId="0" fontId="31" fillId="0" borderId="0" xfId="0" applyFont="1" applyFill="1"/>
    <xf numFmtId="0" fontId="46" fillId="0" borderId="0" xfId="0" applyFont="1" applyBorder="1" applyAlignment="1">
      <alignment horizontal="center" vertical="center"/>
    </xf>
    <xf numFmtId="0" fontId="47" fillId="0" borderId="0" xfId="1" applyFont="1" applyFill="1" applyAlignment="1">
      <alignment vertical="center"/>
    </xf>
    <xf numFmtId="0" fontId="46" fillId="0" borderId="0" xfId="0" applyFont="1" applyBorder="1" applyAlignment="1">
      <alignment vertical="center" wrapText="1"/>
    </xf>
    <xf numFmtId="0" fontId="47" fillId="0" borderId="0" xfId="1" applyFont="1" applyFill="1" applyBorder="1" applyAlignment="1">
      <alignment horizontal="center" vertical="center"/>
    </xf>
    <xf numFmtId="0" fontId="47" fillId="0" borderId="0" xfId="0" applyNumberFormat="1" applyFont="1" applyBorder="1" applyAlignment="1">
      <alignment horizontal="center" vertical="center"/>
    </xf>
    <xf numFmtId="0" fontId="47" fillId="0" borderId="0" xfId="0" applyNumberFormat="1" applyFont="1" applyAlignment="1">
      <alignment horizontal="center" vertical="center"/>
    </xf>
    <xf numFmtId="0" fontId="47" fillId="0" borderId="0" xfId="1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1" applyFont="1" applyFill="1" applyBorder="1" applyAlignment="1">
      <alignment horizontal="center" vertical="center" wrapText="1"/>
    </xf>
    <xf numFmtId="0" fontId="46" fillId="0" borderId="0" xfId="0" applyFont="1" applyBorder="1" applyAlignment="1">
      <alignment vertical="center"/>
    </xf>
    <xf numFmtId="0" fontId="48" fillId="0" borderId="0" xfId="0" applyFont="1" applyBorder="1" applyAlignment="1">
      <alignment vertical="center"/>
    </xf>
    <xf numFmtId="0" fontId="48" fillId="0" borderId="0" xfId="0" applyNumberFormat="1" applyFont="1" applyBorder="1" applyAlignment="1">
      <alignment vertical="center"/>
    </xf>
    <xf numFmtId="0" fontId="46" fillId="0" borderId="0" xfId="0" applyNumberFormat="1" applyFont="1" applyBorder="1" applyAlignment="1">
      <alignment vertical="center"/>
    </xf>
    <xf numFmtId="0" fontId="46" fillId="0" borderId="13" xfId="1" applyFont="1" applyFill="1" applyBorder="1" applyAlignment="1">
      <alignment horizontal="left" vertical="center" wrapText="1"/>
    </xf>
    <xf numFmtId="0" fontId="18" fillId="0" borderId="23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71" fillId="0" borderId="42" xfId="0" applyFont="1" applyFill="1" applyBorder="1" applyAlignment="1">
      <alignment horizontal="center" vertical="center"/>
    </xf>
    <xf numFmtId="0" fontId="46" fillId="0" borderId="19" xfId="1" applyFont="1" applyFill="1" applyBorder="1" applyAlignment="1">
      <alignment horizontal="left" vertical="center" wrapText="1"/>
    </xf>
    <xf numFmtId="0" fontId="46" fillId="0" borderId="22" xfId="1" applyFont="1" applyFill="1" applyBorder="1" applyAlignment="1">
      <alignment horizontal="center" vertical="center" wrapText="1"/>
    </xf>
    <xf numFmtId="0" fontId="46" fillId="0" borderId="22" xfId="1" applyFont="1" applyFill="1" applyBorder="1" applyAlignment="1">
      <alignment horizontal="left" vertical="center" shrinkToFit="1"/>
    </xf>
    <xf numFmtId="0" fontId="46" fillId="0" borderId="16" xfId="1" applyFont="1" applyFill="1" applyBorder="1" applyAlignment="1">
      <alignment vertical="center" shrinkToFit="1"/>
    </xf>
    <xf numFmtId="0" fontId="46" fillId="0" borderId="17" xfId="1" applyFont="1" applyFill="1" applyBorder="1" applyAlignment="1">
      <alignment vertical="center" shrinkToFit="1"/>
    </xf>
    <xf numFmtId="0" fontId="46" fillId="0" borderId="18" xfId="1" applyFont="1" applyFill="1" applyBorder="1" applyAlignment="1">
      <alignment vertical="center" shrinkToFit="1"/>
    </xf>
    <xf numFmtId="0" fontId="46" fillId="0" borderId="13" xfId="1" applyFont="1" applyFill="1" applyBorder="1" applyAlignment="1">
      <alignment horizontal="center" vertical="center" shrinkToFit="1"/>
    </xf>
    <xf numFmtId="0" fontId="47" fillId="0" borderId="19" xfId="1" applyFont="1" applyFill="1" applyBorder="1" applyAlignment="1">
      <alignment vertical="center" shrinkToFit="1"/>
    </xf>
    <xf numFmtId="0" fontId="66" fillId="0" borderId="23" xfId="0" applyFont="1" applyBorder="1" applyAlignment="1">
      <alignment horizontal="center" vertical="center" wrapText="1"/>
    </xf>
    <xf numFmtId="49" fontId="42" fillId="0" borderId="23" xfId="0" applyNumberFormat="1" applyFont="1" applyFill="1" applyBorder="1" applyAlignment="1">
      <alignment horizontal="center" vertical="center"/>
    </xf>
    <xf numFmtId="0" fontId="42" fillId="0" borderId="20" xfId="0" applyFont="1" applyBorder="1" applyAlignment="1">
      <alignment vertical="center" wrapText="1"/>
    </xf>
    <xf numFmtId="0" fontId="42" fillId="0" borderId="21" xfId="0" applyFont="1" applyFill="1" applyBorder="1" applyAlignment="1">
      <alignment vertical="center" wrapText="1"/>
    </xf>
    <xf numFmtId="0" fontId="47" fillId="0" borderId="20" xfId="1" applyFont="1" applyFill="1" applyBorder="1" applyAlignment="1">
      <alignment vertical="center"/>
    </xf>
    <xf numFmtId="0" fontId="67" fillId="0" borderId="23" xfId="0" applyFont="1" applyBorder="1" applyAlignment="1">
      <alignment horizontal="center" vertical="center" wrapText="1"/>
    </xf>
    <xf numFmtId="0" fontId="55" fillId="0" borderId="23" xfId="1" applyFont="1" applyFill="1" applyBorder="1" applyAlignment="1">
      <alignment vertical="center"/>
    </xf>
    <xf numFmtId="0" fontId="47" fillId="0" borderId="23" xfId="1" applyFont="1" applyFill="1" applyBorder="1" applyAlignment="1">
      <alignment horizontal="center" vertical="center"/>
    </xf>
    <xf numFmtId="0" fontId="47" fillId="0" borderId="23" xfId="1" applyFont="1" applyFill="1" applyBorder="1" applyAlignment="1">
      <alignment horizontal="center" vertical="center" wrapText="1"/>
    </xf>
    <xf numFmtId="49" fontId="47" fillId="0" borderId="23" xfId="1" applyNumberFormat="1" applyFont="1" applyFill="1" applyBorder="1" applyAlignment="1">
      <alignment horizontal="center" vertical="center"/>
    </xf>
    <xf numFmtId="0" fontId="18" fillId="0" borderId="23" xfId="1" applyFont="1" applyBorder="1">
      <alignment vertical="center"/>
    </xf>
    <xf numFmtId="179" fontId="34" fillId="0" borderId="23" xfId="1" applyNumberFormat="1" applyFont="1" applyFill="1" applyBorder="1" applyAlignment="1">
      <alignment horizontal="left" vertical="center" wrapText="1"/>
    </xf>
    <xf numFmtId="0" fontId="13" fillId="0" borderId="15" xfId="1" applyBorder="1">
      <alignment vertical="center"/>
    </xf>
    <xf numFmtId="179" fontId="34" fillId="0" borderId="23" xfId="1" applyNumberFormat="1" applyFont="1" applyFill="1" applyBorder="1" applyAlignment="1">
      <alignment horizontal="left" vertical="center"/>
    </xf>
    <xf numFmtId="0" fontId="18" fillId="0" borderId="22" xfId="1" applyFont="1" applyBorder="1">
      <alignment vertical="center"/>
    </xf>
    <xf numFmtId="0" fontId="47" fillId="0" borderId="0" xfId="0" applyFont="1" applyFill="1" applyAlignment="1">
      <alignment vertical="center" wrapText="1"/>
    </xf>
    <xf numFmtId="0" fontId="47" fillId="0" borderId="0" xfId="0" applyFont="1" applyAlignment="1">
      <alignment vertical="center" wrapText="1"/>
    </xf>
    <xf numFmtId="0" fontId="46" fillId="0" borderId="0" xfId="0" applyFont="1" applyBorder="1" applyAlignment="1">
      <alignment horizontal="center" vertical="center"/>
    </xf>
    <xf numFmtId="0" fontId="47" fillId="0" borderId="11" xfId="1" applyFont="1" applyFill="1" applyBorder="1" applyAlignment="1">
      <alignment vertical="center"/>
    </xf>
    <xf numFmtId="0" fontId="46" fillId="0" borderId="16" xfId="1" applyFont="1" applyFill="1" applyBorder="1" applyAlignment="1">
      <alignment horizontal="left" vertical="center" shrinkToFit="1"/>
    </xf>
    <xf numFmtId="0" fontId="46" fillId="0" borderId="18" xfId="1" applyFont="1" applyFill="1" applyBorder="1" applyAlignment="1">
      <alignment horizontal="left" vertical="center" shrinkToFit="1"/>
    </xf>
    <xf numFmtId="0" fontId="46" fillId="0" borderId="20" xfId="1" applyFont="1" applyFill="1" applyBorder="1" applyAlignment="1">
      <alignment horizontal="left" vertical="center" wrapText="1" shrinkToFit="1"/>
    </xf>
    <xf numFmtId="0" fontId="46" fillId="0" borderId="21" xfId="1" applyFont="1" applyFill="1" applyBorder="1" applyAlignment="1">
      <alignment horizontal="left" vertical="center" wrapText="1" shrinkToFit="1"/>
    </xf>
    <xf numFmtId="0" fontId="50" fillId="0" borderId="14" xfId="1" applyFont="1" applyFill="1" applyBorder="1" applyAlignment="1">
      <alignment horizontal="left" vertical="center" wrapText="1"/>
    </xf>
    <xf numFmtId="0" fontId="50" fillId="0" borderId="0" xfId="1" applyFont="1" applyFill="1" applyBorder="1" applyAlignment="1">
      <alignment horizontal="left" vertical="center" wrapText="1"/>
    </xf>
    <xf numFmtId="0" fontId="50" fillId="0" borderId="15" xfId="1" applyFont="1" applyFill="1" applyBorder="1" applyAlignment="1">
      <alignment horizontal="left" vertical="center" wrapText="1"/>
    </xf>
    <xf numFmtId="0" fontId="46" fillId="0" borderId="14" xfId="1" applyFont="1" applyFill="1" applyBorder="1" applyAlignment="1">
      <alignment horizontal="left" vertical="center" wrapText="1"/>
    </xf>
    <xf numFmtId="0" fontId="46" fillId="0" borderId="0" xfId="1" applyFont="1" applyFill="1" applyBorder="1" applyAlignment="1">
      <alignment horizontal="left" vertical="center" wrapText="1"/>
    </xf>
    <xf numFmtId="0" fontId="46" fillId="0" borderId="15" xfId="1" applyFont="1" applyFill="1" applyBorder="1" applyAlignment="1">
      <alignment horizontal="left" vertical="center" wrapText="1"/>
    </xf>
    <xf numFmtId="0" fontId="46" fillId="0" borderId="10" xfId="1" applyFont="1" applyFill="1" applyBorder="1" applyAlignment="1">
      <alignment horizontal="left" vertical="center" wrapText="1"/>
    </xf>
    <xf numFmtId="0" fontId="46" fillId="0" borderId="12" xfId="1" applyFont="1" applyFill="1" applyBorder="1" applyAlignment="1">
      <alignment horizontal="left" vertical="center" wrapText="1"/>
    </xf>
    <xf numFmtId="0" fontId="46" fillId="0" borderId="14" xfId="1" applyFont="1" applyFill="1" applyBorder="1" applyAlignment="1">
      <alignment horizontal="left" vertical="center" shrinkToFit="1"/>
    </xf>
    <xf numFmtId="0" fontId="46" fillId="0" borderId="15" xfId="1" applyFont="1" applyFill="1" applyBorder="1" applyAlignment="1">
      <alignment horizontal="left" vertical="center" shrinkToFit="1"/>
    </xf>
    <xf numFmtId="0" fontId="54" fillId="0" borderId="20" xfId="0" applyFont="1" applyFill="1" applyBorder="1" applyAlignment="1">
      <alignment horizontal="left" vertical="center" wrapText="1"/>
    </xf>
    <xf numFmtId="0" fontId="54" fillId="0" borderId="24" xfId="0" applyFont="1" applyFill="1" applyBorder="1" applyAlignment="1">
      <alignment horizontal="left" vertical="center" wrapText="1"/>
    </xf>
    <xf numFmtId="0" fontId="54" fillId="0" borderId="21" xfId="0" applyFont="1" applyFill="1" applyBorder="1" applyAlignment="1">
      <alignment horizontal="left" vertical="center" wrapText="1"/>
    </xf>
    <xf numFmtId="176" fontId="46" fillId="0" borderId="16" xfId="1" applyNumberFormat="1" applyFont="1" applyFill="1" applyBorder="1" applyAlignment="1">
      <alignment horizontal="center" vertical="center" wrapText="1"/>
    </xf>
    <xf numFmtId="176" fontId="46" fillId="0" borderId="18" xfId="1" applyNumberFormat="1" applyFont="1" applyFill="1" applyBorder="1" applyAlignment="1">
      <alignment horizontal="center" vertical="center" wrapText="1"/>
    </xf>
    <xf numFmtId="0" fontId="47" fillId="0" borderId="0" xfId="1" applyFont="1" applyFill="1" applyAlignment="1">
      <alignment vertical="center"/>
    </xf>
    <xf numFmtId="0" fontId="47" fillId="0" borderId="20" xfId="1" applyFont="1" applyFill="1" applyBorder="1" applyAlignment="1">
      <alignment horizontal="center" vertical="center" wrapText="1"/>
    </xf>
    <xf numFmtId="0" fontId="47" fillId="0" borderId="21" xfId="1" applyFont="1" applyFill="1" applyBorder="1" applyAlignment="1">
      <alignment horizontal="center" vertical="center" wrapText="1"/>
    </xf>
    <xf numFmtId="180" fontId="54" fillId="0" borderId="20" xfId="2" applyNumberFormat="1" applyFont="1" applyFill="1" applyBorder="1" applyAlignment="1">
      <alignment horizontal="center" vertical="center" wrapText="1"/>
    </xf>
    <xf numFmtId="180" fontId="54" fillId="0" borderId="21" xfId="2" applyNumberFormat="1" applyFont="1" applyFill="1" applyBorder="1" applyAlignment="1">
      <alignment horizontal="center" vertical="center" wrapText="1"/>
    </xf>
    <xf numFmtId="0" fontId="57" fillId="0" borderId="20" xfId="1" applyFont="1" applyFill="1" applyBorder="1" applyAlignment="1">
      <alignment horizontal="left" vertical="center" wrapText="1"/>
    </xf>
    <xf numFmtId="0" fontId="57" fillId="0" borderId="24" xfId="1" applyFont="1" applyFill="1" applyBorder="1" applyAlignment="1">
      <alignment horizontal="left" vertical="center" wrapText="1"/>
    </xf>
    <xf numFmtId="0" fontId="57" fillId="0" borderId="21" xfId="1" applyFont="1" applyFill="1" applyBorder="1" applyAlignment="1">
      <alignment horizontal="left" vertical="center" wrapText="1"/>
    </xf>
    <xf numFmtId="0" fontId="46" fillId="0" borderId="13" xfId="1" applyFont="1" applyFill="1" applyBorder="1" applyAlignment="1">
      <alignment horizontal="left" vertical="center" wrapText="1"/>
    </xf>
    <xf numFmtId="0" fontId="46" fillId="0" borderId="11" xfId="1" applyFont="1" applyFill="1" applyBorder="1" applyAlignment="1">
      <alignment horizontal="left" vertical="center" wrapText="1"/>
    </xf>
    <xf numFmtId="0" fontId="49" fillId="0" borderId="14" xfId="1" applyFont="1" applyFill="1" applyBorder="1" applyAlignment="1">
      <alignment horizontal="left" vertical="center" wrapText="1"/>
    </xf>
    <xf numFmtId="0" fontId="49" fillId="0" borderId="15" xfId="1" applyFont="1" applyFill="1" applyBorder="1" applyAlignment="1">
      <alignment horizontal="left" vertical="center" wrapText="1"/>
    </xf>
    <xf numFmtId="0" fontId="50" fillId="0" borderId="14" xfId="1" applyFont="1" applyFill="1" applyBorder="1" applyAlignment="1">
      <alignment horizontal="left" vertical="center" shrinkToFit="1"/>
    </xf>
    <xf numFmtId="0" fontId="50" fillId="0" borderId="15" xfId="1" applyFont="1" applyFill="1" applyBorder="1" applyAlignment="1">
      <alignment horizontal="left" vertical="center" shrinkToFit="1"/>
    </xf>
    <xf numFmtId="0" fontId="52" fillId="0" borderId="14" xfId="1" applyFont="1" applyFill="1" applyBorder="1" applyAlignment="1">
      <alignment horizontal="left" vertical="center" shrinkToFit="1"/>
    </xf>
    <xf numFmtId="0" fontId="52" fillId="0" borderId="0" xfId="1" applyFont="1" applyFill="1" applyBorder="1" applyAlignment="1">
      <alignment horizontal="left" vertical="center" shrinkToFit="1"/>
    </xf>
    <xf numFmtId="0" fontId="52" fillId="0" borderId="15" xfId="1" applyFont="1" applyFill="1" applyBorder="1" applyAlignment="1">
      <alignment horizontal="left" vertical="center" shrinkToFit="1"/>
    </xf>
    <xf numFmtId="0" fontId="46" fillId="0" borderId="10" xfId="1" applyFont="1" applyFill="1" applyBorder="1" applyAlignment="1">
      <alignment horizontal="left" vertical="center" shrinkToFit="1"/>
    </xf>
    <xf numFmtId="0" fontId="46" fillId="0" borderId="12" xfId="1" applyFont="1" applyFill="1" applyBorder="1" applyAlignment="1">
      <alignment horizontal="left" vertical="center" shrinkToFit="1"/>
    </xf>
    <xf numFmtId="0" fontId="44" fillId="0" borderId="10" xfId="1" applyFont="1" applyFill="1" applyBorder="1" applyAlignment="1">
      <alignment horizontal="center" vertical="center" wrapText="1"/>
    </xf>
    <xf numFmtId="0" fontId="45" fillId="0" borderId="11" xfId="1" applyFont="1" applyFill="1" applyBorder="1" applyAlignment="1">
      <alignment horizontal="center" vertical="center" wrapText="1"/>
    </xf>
    <xf numFmtId="0" fontId="45" fillId="0" borderId="12" xfId="1" applyFont="1" applyFill="1" applyBorder="1" applyAlignment="1">
      <alignment horizontal="center" vertical="center" wrapText="1"/>
    </xf>
    <xf numFmtId="0" fontId="45" fillId="0" borderId="14" xfId="1" applyFont="1" applyFill="1" applyBorder="1" applyAlignment="1">
      <alignment horizontal="center" vertical="center" wrapText="1"/>
    </xf>
    <xf numFmtId="0" fontId="45" fillId="0" borderId="0" xfId="1" applyFont="1" applyFill="1" applyBorder="1" applyAlignment="1">
      <alignment horizontal="center" vertical="center" wrapText="1"/>
    </xf>
    <xf numFmtId="0" fontId="45" fillId="0" borderId="15" xfId="1" applyFont="1" applyFill="1" applyBorder="1" applyAlignment="1">
      <alignment horizontal="center" vertical="center" wrapText="1"/>
    </xf>
    <xf numFmtId="0" fontId="46" fillId="0" borderId="16" xfId="1" applyFont="1" applyFill="1" applyBorder="1" applyAlignment="1">
      <alignment horizontal="center" vertical="center" wrapText="1"/>
    </xf>
    <xf numFmtId="0" fontId="46" fillId="0" borderId="18" xfId="1" applyFont="1" applyFill="1" applyBorder="1" applyAlignment="1">
      <alignment horizontal="center" vertical="center" wrapText="1"/>
    </xf>
    <xf numFmtId="0" fontId="47" fillId="0" borderId="10" xfId="1" applyFont="1" applyFill="1" applyBorder="1" applyAlignment="1">
      <alignment horizontal="left" vertical="center" wrapText="1"/>
    </xf>
    <xf numFmtId="0" fontId="47" fillId="0" borderId="11" xfId="1" applyFont="1" applyFill="1" applyBorder="1" applyAlignment="1">
      <alignment horizontal="left" vertical="center" wrapText="1"/>
    </xf>
    <xf numFmtId="0" fontId="47" fillId="0" borderId="12" xfId="1" applyFont="1" applyFill="1" applyBorder="1" applyAlignment="1">
      <alignment horizontal="left" vertical="center" wrapText="1"/>
    </xf>
    <xf numFmtId="0" fontId="46" fillId="0" borderId="16" xfId="0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43" fillId="0" borderId="20" xfId="0" applyFont="1" applyFill="1" applyBorder="1" applyAlignment="1">
      <alignment horizontal="left" vertical="center" wrapText="1"/>
    </xf>
    <xf numFmtId="0" fontId="43" fillId="0" borderId="21" xfId="0" applyFont="1" applyFill="1" applyBorder="1" applyAlignment="1">
      <alignment horizontal="left" vertical="center" wrapText="1"/>
    </xf>
    <xf numFmtId="0" fontId="46" fillId="0" borderId="10" xfId="1" applyFont="1" applyFill="1" applyBorder="1" applyAlignment="1">
      <alignment horizontal="left" vertical="center" wrapText="1" shrinkToFit="1"/>
    </xf>
    <xf numFmtId="0" fontId="46" fillId="0" borderId="11" xfId="1" applyFont="1" applyFill="1" applyBorder="1" applyAlignment="1">
      <alignment horizontal="left" vertical="center" wrapText="1" shrinkToFit="1"/>
    </xf>
    <xf numFmtId="0" fontId="46" fillId="0" borderId="12" xfId="1" applyFont="1" applyFill="1" applyBorder="1" applyAlignment="1">
      <alignment horizontal="left" vertical="center" wrapText="1" shrinkToFit="1"/>
    </xf>
    <xf numFmtId="0" fontId="52" fillId="0" borderId="14" xfId="1" applyFont="1" applyFill="1" applyBorder="1" applyAlignment="1">
      <alignment horizontal="left" vertical="center" wrapText="1" shrinkToFit="1"/>
    </xf>
    <xf numFmtId="0" fontId="52" fillId="0" borderId="0" xfId="1" applyFont="1" applyFill="1" applyBorder="1" applyAlignment="1">
      <alignment horizontal="left" vertical="center" wrapText="1" shrinkToFit="1"/>
    </xf>
    <xf numFmtId="0" fontId="52" fillId="0" borderId="15" xfId="1" applyFont="1" applyFill="1" applyBorder="1" applyAlignment="1">
      <alignment horizontal="left" vertical="center" wrapText="1" shrinkToFit="1"/>
    </xf>
    <xf numFmtId="0" fontId="46" fillId="0" borderId="20" xfId="1" applyFont="1" applyFill="1" applyBorder="1" applyAlignment="1">
      <alignment horizontal="left" vertical="center" shrinkToFit="1"/>
    </xf>
    <xf numFmtId="0" fontId="46" fillId="0" borderId="21" xfId="1" applyFont="1" applyFill="1" applyBorder="1" applyAlignment="1">
      <alignment horizontal="left" vertical="center" shrinkToFit="1"/>
    </xf>
    <xf numFmtId="177" fontId="46" fillId="0" borderId="16" xfId="1" applyNumberFormat="1" applyFont="1" applyFill="1" applyBorder="1" applyAlignment="1">
      <alignment horizontal="center" vertical="center" wrapText="1"/>
    </xf>
    <xf numFmtId="0" fontId="46" fillId="0" borderId="14" xfId="1" applyFont="1" applyFill="1" applyBorder="1" applyAlignment="1">
      <alignment horizontal="left" vertical="center" wrapText="1" shrinkToFit="1"/>
    </xf>
    <xf numFmtId="0" fontId="46" fillId="0" borderId="0" xfId="1" applyFont="1" applyFill="1" applyBorder="1" applyAlignment="1">
      <alignment horizontal="left" vertical="center" wrapText="1" shrinkToFit="1"/>
    </xf>
    <xf numFmtId="0" fontId="46" fillId="0" borderId="15" xfId="1" applyFont="1" applyFill="1" applyBorder="1" applyAlignment="1">
      <alignment horizontal="left" vertical="center" wrapText="1" shrinkToFit="1"/>
    </xf>
    <xf numFmtId="0" fontId="49" fillId="0" borderId="16" xfId="1" applyFont="1" applyFill="1" applyBorder="1" applyAlignment="1">
      <alignment horizontal="center" vertical="center" wrapText="1"/>
    </xf>
    <xf numFmtId="0" fontId="49" fillId="0" borderId="17" xfId="1" applyFont="1" applyFill="1" applyBorder="1" applyAlignment="1">
      <alignment horizontal="center" vertical="center" wrapText="1"/>
    </xf>
    <xf numFmtId="0" fontId="49" fillId="0" borderId="18" xfId="1" applyFont="1" applyFill="1" applyBorder="1" applyAlignment="1">
      <alignment horizontal="center" vertical="center" wrapText="1"/>
    </xf>
    <xf numFmtId="0" fontId="58" fillId="0" borderId="16" xfId="0" applyFont="1" applyBorder="1" applyAlignment="1">
      <alignment horizontal="center" vertical="center" wrapText="1"/>
    </xf>
    <xf numFmtId="0" fontId="58" fillId="0" borderId="18" xfId="0" applyFont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6" fillId="0" borderId="16" xfId="0" applyFont="1" applyFill="1" applyBorder="1" applyAlignment="1">
      <alignment horizontal="left" vertical="center" wrapText="1" shrinkToFit="1"/>
    </xf>
    <xf numFmtId="0" fontId="46" fillId="0" borderId="17" xfId="0" applyFont="1" applyFill="1" applyBorder="1" applyAlignment="1">
      <alignment horizontal="left" vertical="center" wrapText="1" shrinkToFit="1"/>
    </xf>
    <xf numFmtId="0" fontId="46" fillId="0" borderId="18" xfId="0" applyFont="1" applyFill="1" applyBorder="1" applyAlignment="1">
      <alignment horizontal="left" vertical="center" wrapText="1" shrinkToFit="1"/>
    </xf>
    <xf numFmtId="176" fontId="46" fillId="0" borderId="17" xfId="1" applyNumberFormat="1" applyFont="1" applyFill="1" applyBorder="1" applyAlignment="1">
      <alignment horizontal="center" vertical="center" wrapText="1"/>
    </xf>
    <xf numFmtId="176" fontId="19" fillId="0" borderId="13" xfId="1" applyNumberFormat="1" applyFont="1" applyBorder="1" applyAlignment="1">
      <alignment horizontal="center" vertical="center"/>
    </xf>
    <xf numFmtId="176" fontId="19" fillId="0" borderId="22" xfId="1" applyNumberFormat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3" fillId="0" borderId="20" xfId="1" applyNumberFormat="1" applyFont="1" applyBorder="1" applyAlignment="1">
      <alignment horizontal="center" vertical="center" wrapText="1"/>
    </xf>
    <xf numFmtId="0" fontId="13" fillId="0" borderId="21" xfId="1" applyNumberFormat="1" applyFont="1" applyBorder="1" applyAlignment="1">
      <alignment horizontal="center" vertical="center" wrapText="1"/>
    </xf>
    <xf numFmtId="49" fontId="33" fillId="0" borderId="20" xfId="1" quotePrefix="1" applyNumberFormat="1" applyFont="1" applyFill="1" applyBorder="1" applyAlignment="1">
      <alignment horizontal="center" vertical="center"/>
    </xf>
    <xf numFmtId="0" fontId="33" fillId="0" borderId="21" xfId="1" quotePrefix="1" applyFont="1" applyFill="1" applyBorder="1" applyAlignment="1">
      <alignment horizontal="center" vertical="center"/>
    </xf>
    <xf numFmtId="0" fontId="33" fillId="0" borderId="20" xfId="1" applyFont="1" applyFill="1" applyBorder="1" applyAlignment="1">
      <alignment horizontal="center" vertical="center" wrapText="1" shrinkToFit="1"/>
    </xf>
    <xf numFmtId="0" fontId="33" fillId="0" borderId="24" xfId="1" applyFont="1" applyFill="1" applyBorder="1" applyAlignment="1">
      <alignment horizontal="center" vertical="center" wrapText="1" shrinkToFit="1"/>
    </xf>
    <xf numFmtId="0" fontId="33" fillId="0" borderId="21" xfId="1" applyFont="1" applyFill="1" applyBorder="1" applyAlignment="1">
      <alignment horizontal="center" vertical="center" wrapText="1" shrinkToFit="1"/>
    </xf>
    <xf numFmtId="0" fontId="18" fillId="0" borderId="10" xfId="1" applyFont="1" applyBorder="1" applyAlignment="1">
      <alignment horizontal="center" vertical="center" shrinkToFit="1"/>
    </xf>
    <xf numFmtId="0" fontId="18" fillId="0" borderId="12" xfId="1" applyFont="1" applyBorder="1" applyAlignment="1">
      <alignment horizontal="center" vertical="center" shrinkToFit="1"/>
    </xf>
    <xf numFmtId="0" fontId="18" fillId="0" borderId="14" xfId="1" applyFont="1" applyBorder="1" applyAlignment="1">
      <alignment horizontal="center" vertical="center" shrinkToFit="1"/>
    </xf>
    <xf numFmtId="0" fontId="18" fillId="0" borderId="15" xfId="1" applyFont="1" applyBorder="1" applyAlignment="1">
      <alignment horizontal="center" vertical="center" shrinkToFit="1"/>
    </xf>
    <xf numFmtId="0" fontId="18" fillId="0" borderId="16" xfId="1" applyFont="1" applyBorder="1" applyAlignment="1">
      <alignment horizontal="center" vertical="center" shrinkToFit="1"/>
    </xf>
    <xf numFmtId="0" fontId="18" fillId="0" borderId="18" xfId="1" applyFont="1" applyBorder="1" applyAlignment="1">
      <alignment horizontal="center" vertical="center" shrinkToFit="1"/>
    </xf>
    <xf numFmtId="0" fontId="20" fillId="0" borderId="10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18" fillId="0" borderId="13" xfId="1" applyFont="1" applyBorder="1" applyAlignment="1">
      <alignment vertical="center" wrapText="1"/>
    </xf>
    <xf numFmtId="0" fontId="21" fillId="0" borderId="19" xfId="1" applyFont="1" applyBorder="1" applyAlignment="1">
      <alignment vertical="center" wrapText="1"/>
    </xf>
    <xf numFmtId="0" fontId="21" fillId="0" borderId="22" xfId="1" applyFont="1" applyBorder="1" applyAlignment="1">
      <alignment vertical="center" wrapText="1"/>
    </xf>
    <xf numFmtId="0" fontId="18" fillId="0" borderId="13" xfId="1" applyFont="1" applyBorder="1" applyAlignment="1">
      <alignment horizontal="left" vertical="center"/>
    </xf>
    <xf numFmtId="0" fontId="21" fillId="0" borderId="19" xfId="1" applyFont="1" applyBorder="1" applyAlignment="1">
      <alignment horizontal="left" vertical="center"/>
    </xf>
    <xf numFmtId="0" fontId="21" fillId="0" borderId="22" xfId="1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20" fillId="0" borderId="10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17" xfId="1" applyFont="1" applyBorder="1" applyAlignment="1">
      <alignment vertical="center"/>
    </xf>
    <xf numFmtId="0" fontId="13" fillId="0" borderId="17" xfId="1" applyBorder="1" applyAlignment="1">
      <alignment vertical="center"/>
    </xf>
    <xf numFmtId="0" fontId="18" fillId="0" borderId="10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 wrapText="1"/>
    </xf>
    <xf numFmtId="0" fontId="18" fillId="0" borderId="17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176" fontId="19" fillId="0" borderId="13" xfId="1" applyNumberFormat="1" applyFont="1" applyBorder="1" applyAlignment="1">
      <alignment horizontal="center" vertical="center" wrapText="1"/>
    </xf>
    <xf numFmtId="176" fontId="19" fillId="0" borderId="19" xfId="1" applyNumberFormat="1" applyFont="1" applyBorder="1" applyAlignment="1">
      <alignment horizontal="center" vertical="center"/>
    </xf>
    <xf numFmtId="0" fontId="18" fillId="0" borderId="10" xfId="1" applyFont="1" applyBorder="1" applyAlignment="1">
      <alignment horizontal="left" vertical="center"/>
    </xf>
    <xf numFmtId="0" fontId="18" fillId="0" borderId="11" xfId="1" applyFont="1" applyBorder="1" applyAlignment="1">
      <alignment horizontal="left" vertical="center"/>
    </xf>
    <xf numFmtId="0" fontId="18" fillId="0" borderId="12" xfId="1" applyFont="1" applyBorder="1" applyAlignment="1">
      <alignment horizontal="left" vertical="center"/>
    </xf>
    <xf numFmtId="0" fontId="18" fillId="0" borderId="10" xfId="1" applyFont="1" applyBorder="1" applyAlignment="1">
      <alignment vertical="center"/>
    </xf>
    <xf numFmtId="0" fontId="21" fillId="0" borderId="12" xfId="1" applyFont="1" applyBorder="1" applyAlignment="1">
      <alignment vertical="center"/>
    </xf>
    <xf numFmtId="0" fontId="18" fillId="0" borderId="11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6" xfId="1" applyFont="1" applyBorder="1" applyAlignment="1">
      <alignment vertical="center"/>
    </xf>
    <xf numFmtId="0" fontId="21" fillId="0" borderId="18" xfId="1" applyFont="1" applyBorder="1" applyAlignment="1">
      <alignment vertical="center"/>
    </xf>
    <xf numFmtId="0" fontId="21" fillId="0" borderId="13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 wrapText="1"/>
    </xf>
    <xf numFmtId="0" fontId="21" fillId="0" borderId="1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left" vertical="center" wrapText="1"/>
    </xf>
    <xf numFmtId="0" fontId="18" fillId="0" borderId="14" xfId="1" applyFont="1" applyBorder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21" fillId="0" borderId="14" xfId="1" applyFont="1" applyBorder="1" applyAlignment="1">
      <alignment horizontal="left" vertical="center" wrapText="1"/>
    </xf>
    <xf numFmtId="0" fontId="21" fillId="0" borderId="16" xfId="1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33" fillId="0" borderId="20" xfId="1" quotePrefix="1" applyFont="1" applyFill="1" applyBorder="1" applyAlignment="1">
      <alignment horizontal="center" vertical="center"/>
    </xf>
    <xf numFmtId="0" fontId="34" fillId="0" borderId="20" xfId="1" applyNumberFormat="1" applyFont="1" applyFill="1" applyBorder="1" applyAlignment="1">
      <alignment horizontal="left" vertical="center" shrinkToFit="1"/>
    </xf>
    <xf numFmtId="0" fontId="34" fillId="0" borderId="21" xfId="1" applyNumberFormat="1" applyFont="1" applyFill="1" applyBorder="1" applyAlignment="1">
      <alignment horizontal="left" vertical="center" shrinkToFit="1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6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9" fillId="0" borderId="6" xfId="0" applyFont="1" applyBorder="1" applyAlignment="1">
      <alignment vertical="center" wrapText="1"/>
    </xf>
    <xf numFmtId="0" fontId="60" fillId="0" borderId="1" xfId="0" applyFont="1" applyBorder="1" applyAlignment="1">
      <alignment horizontal="left" vertical="center" wrapText="1"/>
    </xf>
    <xf numFmtId="0" fontId="60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61" fillId="2" borderId="1" xfId="0" applyNumberFormat="1" applyFont="1" applyFill="1" applyBorder="1" applyAlignment="1">
      <alignment horizontal="center" vertical="center"/>
    </xf>
    <xf numFmtId="0" fontId="61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60" fillId="0" borderId="1" xfId="0" applyFont="1" applyBorder="1" applyAlignment="1">
      <alignment horizontal="justify" vertical="center" wrapText="1"/>
    </xf>
    <xf numFmtId="0" fontId="60" fillId="0" borderId="2" xfId="0" applyFont="1" applyBorder="1" applyAlignment="1">
      <alignment horizontal="justify" vertical="center" wrapText="1"/>
    </xf>
    <xf numFmtId="49" fontId="60" fillId="0" borderId="1" xfId="0" quotePrefix="1" applyNumberFormat="1" applyFont="1" applyBorder="1" applyAlignment="1">
      <alignment horizontal="center" vertical="center" wrapText="1"/>
    </xf>
    <xf numFmtId="0" fontId="60" fillId="0" borderId="2" xfId="0" applyNumberFormat="1" applyFont="1" applyBorder="1" applyAlignment="1">
      <alignment horizontal="center" vertical="center" wrapText="1"/>
    </xf>
    <xf numFmtId="0" fontId="79" fillId="0" borderId="0" xfId="0" applyFont="1" applyAlignment="1">
      <alignment horizontal="right"/>
    </xf>
    <xf numFmtId="0" fontId="78" fillId="0" borderId="0" xfId="0" applyFont="1" applyAlignment="1">
      <alignment horizontal="right"/>
    </xf>
    <xf numFmtId="0" fontId="80" fillId="0" borderId="0" xfId="0" applyFont="1" applyAlignment="1">
      <alignment horizontal="right" vertical="center"/>
    </xf>
    <xf numFmtId="0" fontId="78" fillId="0" borderId="0" xfId="0" applyFont="1" applyAlignment="1">
      <alignment horizontal="right" vertical="center"/>
    </xf>
    <xf numFmtId="0" fontId="72" fillId="0" borderId="9" xfId="0" applyFont="1" applyBorder="1" applyAlignment="1">
      <alignment horizontal="left" vertical="center"/>
    </xf>
    <xf numFmtId="0" fontId="74" fillId="0" borderId="0" xfId="0" applyFont="1" applyAlignment="1">
      <alignment horizontal="center"/>
    </xf>
    <xf numFmtId="0" fontId="25" fillId="0" borderId="32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8" fillId="0" borderId="7" xfId="3" applyFont="1" applyBorder="1" applyAlignment="1">
      <alignment horizontal="left" vertical="center" wrapText="1"/>
    </xf>
    <xf numFmtId="0" fontId="28" fillId="0" borderId="9" xfId="3" applyFont="1" applyBorder="1" applyAlignment="1">
      <alignment horizontal="left" vertical="center" wrapText="1"/>
    </xf>
    <xf numFmtId="0" fontId="28" fillId="0" borderId="3" xfId="3" applyFont="1" applyBorder="1" applyAlignment="1">
      <alignment horizontal="left" vertical="center" wrapText="1"/>
    </xf>
    <xf numFmtId="0" fontId="28" fillId="0" borderId="35" xfId="3" applyFont="1" applyBorder="1" applyAlignment="1">
      <alignment horizontal="left" vertical="center" wrapText="1"/>
    </xf>
    <xf numFmtId="0" fontId="28" fillId="0" borderId="0" xfId="3" applyFont="1" applyBorder="1" applyAlignment="1">
      <alignment horizontal="left" vertical="center" wrapText="1"/>
    </xf>
    <xf numFmtId="0" fontId="28" fillId="0" borderId="5" xfId="3" applyFont="1" applyBorder="1" applyAlignment="1">
      <alignment horizontal="left" vertical="center" wrapText="1"/>
    </xf>
    <xf numFmtId="0" fontId="28" fillId="0" borderId="8" xfId="3" applyFont="1" applyBorder="1" applyAlignment="1">
      <alignment horizontal="left" vertical="center" wrapText="1"/>
    </xf>
    <xf numFmtId="0" fontId="28" fillId="0" borderId="6" xfId="3" applyFont="1" applyBorder="1" applyAlignment="1">
      <alignment horizontal="left" vertical="center" wrapText="1"/>
    </xf>
    <xf numFmtId="0" fontId="28" fillId="0" borderId="4" xfId="3" applyFont="1" applyBorder="1" applyAlignment="1">
      <alignment horizontal="left" vertical="center" wrapText="1"/>
    </xf>
    <xf numFmtId="0" fontId="13" fillId="0" borderId="7" xfId="3" applyFont="1" applyBorder="1" applyAlignment="1">
      <alignment horizontal="left" vertical="center" wrapText="1"/>
    </xf>
    <xf numFmtId="0" fontId="13" fillId="0" borderId="9" xfId="3" applyFont="1" applyBorder="1" applyAlignment="1">
      <alignment horizontal="left" vertical="center" wrapText="1"/>
    </xf>
    <xf numFmtId="0" fontId="13" fillId="0" borderId="3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center" vertical="center" wrapText="1"/>
    </xf>
    <xf numFmtId="0" fontId="25" fillId="0" borderId="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4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left" vertical="center" wrapText="1"/>
    </xf>
    <xf numFmtId="0" fontId="13" fillId="0" borderId="6" xfId="3" applyFont="1" applyBorder="1" applyAlignment="1">
      <alignment horizontal="left" vertical="center" wrapText="1"/>
    </xf>
    <xf numFmtId="0" fontId="13" fillId="0" borderId="4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30" xfId="3" applyFont="1" applyBorder="1" applyAlignment="1">
      <alignment horizontal="left" vertical="center" wrapText="1"/>
    </xf>
    <xf numFmtId="49" fontId="13" fillId="0" borderId="7" xfId="3" applyNumberFormat="1" applyFont="1" applyBorder="1" applyAlignment="1">
      <alignment horizontal="left" vertical="center" wrapText="1"/>
    </xf>
    <xf numFmtId="0" fontId="13" fillId="0" borderId="9" xfId="3" applyNumberFormat="1" applyFont="1" applyBorder="1" applyAlignment="1">
      <alignment horizontal="left" vertical="center" wrapText="1"/>
    </xf>
    <xf numFmtId="0" fontId="13" fillId="0" borderId="3" xfId="3" applyNumberFormat="1" applyFont="1" applyBorder="1" applyAlignment="1">
      <alignment horizontal="left" vertical="center" wrapText="1"/>
    </xf>
    <xf numFmtId="0" fontId="13" fillId="0" borderId="8" xfId="3" applyNumberFormat="1" applyFont="1" applyBorder="1" applyAlignment="1">
      <alignment horizontal="left" vertical="center" wrapText="1"/>
    </xf>
    <xf numFmtId="0" fontId="13" fillId="0" borderId="6" xfId="3" applyNumberFormat="1" applyFont="1" applyBorder="1" applyAlignment="1">
      <alignment horizontal="left" vertical="center" wrapText="1"/>
    </xf>
    <xf numFmtId="0" fontId="13" fillId="0" borderId="4" xfId="3" applyNumberFormat="1" applyFont="1" applyBorder="1" applyAlignment="1">
      <alignment horizontal="left" vertical="center" wrapText="1"/>
    </xf>
    <xf numFmtId="0" fontId="13" fillId="0" borderId="28" xfId="3" applyFont="1" applyBorder="1" applyAlignment="1">
      <alignment horizontal="left" vertical="center" wrapText="1"/>
    </xf>
    <xf numFmtId="0" fontId="13" fillId="0" borderId="29" xfId="3" applyFont="1" applyBorder="1" applyAlignment="1">
      <alignment horizontal="left" vertical="center" wrapText="1"/>
    </xf>
    <xf numFmtId="0" fontId="13" fillId="0" borderId="30" xfId="3" applyFont="1" applyBorder="1" applyAlignment="1">
      <alignment horizontal="left" vertical="center" wrapText="1"/>
    </xf>
    <xf numFmtId="0" fontId="25" fillId="0" borderId="29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center" vertical="center"/>
    </xf>
    <xf numFmtId="0" fontId="25" fillId="0" borderId="29" xfId="3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/>
    </xf>
    <xf numFmtId="0" fontId="25" fillId="0" borderId="29" xfId="3" applyFont="1" applyBorder="1" applyAlignment="1">
      <alignment horizontal="center" vertical="center" wrapText="1"/>
    </xf>
  </cellXfs>
  <cellStyles count="5">
    <cellStyle name="一般" xfId="0" builtinId="0"/>
    <cellStyle name="一般 2" xfId="1" xr:uid="{00000000-0005-0000-0000-000001000000}"/>
    <cellStyle name="一般 3" xfId="3" xr:uid="{00000000-0005-0000-0000-000002000000}"/>
    <cellStyle name="一般 4" xfId="4" xr:uid="{00000000-0005-0000-0000-000003000000}"/>
    <cellStyle name="一般_閩南海盛9V.0701報關-泉昇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600634</xdr:colOff>
      <xdr:row>3</xdr:row>
      <xdr:rowOff>60512</xdr:rowOff>
    </xdr:from>
    <xdr:to>
      <xdr:col>0</xdr:col>
      <xdr:colOff>810184</xdr:colOff>
      <xdr:row>3</xdr:row>
      <xdr:rowOff>165287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00634" y="912159"/>
          <a:ext cx="209550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1011329</xdr:colOff>
      <xdr:row>3</xdr:row>
      <xdr:rowOff>50987</xdr:rowOff>
    </xdr:from>
    <xdr:to>
      <xdr:col>0</xdr:col>
      <xdr:colOff>1230404</xdr:colOff>
      <xdr:row>3</xdr:row>
      <xdr:rowOff>174812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011329" y="902634"/>
          <a:ext cx="219075" cy="1238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0</xdr:col>
      <xdr:colOff>215713</xdr:colOff>
      <xdr:row>3</xdr:row>
      <xdr:rowOff>39781</xdr:rowOff>
    </xdr:from>
    <xdr:to>
      <xdr:col>0</xdr:col>
      <xdr:colOff>406213</xdr:colOff>
      <xdr:row>3</xdr:row>
      <xdr:rowOff>163606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15713" y="891428"/>
          <a:ext cx="1905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421005</xdr:colOff>
      <xdr:row>15</xdr:row>
      <xdr:rowOff>142875</xdr:rowOff>
    </xdr:from>
    <xdr:to>
      <xdr:col>1</xdr:col>
      <xdr:colOff>626813</xdr:colOff>
      <xdr:row>16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8655" y="3152775"/>
          <a:ext cx="205808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altLang="zh-TW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 2</a:t>
          </a: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  <xdr:twoCellAnchor editAs="oneCell">
    <xdr:from>
      <xdr:col>4</xdr:col>
      <xdr:colOff>457200</xdr:colOff>
      <xdr:row>16</xdr:row>
      <xdr:rowOff>28575</xdr:rowOff>
    </xdr:from>
    <xdr:to>
      <xdr:col>5</xdr:col>
      <xdr:colOff>200025</xdr:colOff>
      <xdr:row>17</xdr:row>
      <xdr:rowOff>57149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3114675" y="3267075"/>
          <a:ext cx="323850" cy="25717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wrap="square" lIns="27432" tIns="27432" rIns="27432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TW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10</a:t>
          </a: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16</xdr:row>
      <xdr:rowOff>28575</xdr:rowOff>
    </xdr:from>
    <xdr:to>
      <xdr:col>5</xdr:col>
      <xdr:colOff>200025</xdr:colOff>
      <xdr:row>17</xdr:row>
      <xdr:rowOff>57149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3114675" y="3267075"/>
          <a:ext cx="323850" cy="25717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wrap="square" lIns="27432" tIns="27432" rIns="27432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TW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10</a:t>
          </a: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  <xdr:twoCellAnchor>
    <xdr:from>
      <xdr:col>1</xdr:col>
      <xdr:colOff>419100</xdr:colOff>
      <xdr:row>15</xdr:row>
      <xdr:rowOff>142875</xdr:rowOff>
    </xdr:from>
    <xdr:to>
      <xdr:col>1</xdr:col>
      <xdr:colOff>624908</xdr:colOff>
      <xdr:row>16</xdr:row>
      <xdr:rowOff>133350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F9624CC2-EB8A-4595-B679-23509A8A87B5}"/>
            </a:ext>
          </a:extLst>
        </xdr:cNvPr>
        <xdr:cNvSpPr>
          <a:spLocks noChangeArrowheads="1"/>
        </xdr:cNvSpPr>
      </xdr:nvSpPr>
      <xdr:spPr bwMode="auto">
        <a:xfrm>
          <a:off x="666750" y="3152775"/>
          <a:ext cx="205808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altLang="zh-TW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 2</a:t>
          </a: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228599</xdr:rowOff>
    </xdr:from>
    <xdr:to>
      <xdr:col>3</xdr:col>
      <xdr:colOff>342900</xdr:colOff>
      <xdr:row>0</xdr:row>
      <xdr:rowOff>419100</xdr:rowOff>
    </xdr:to>
    <xdr:pic>
      <xdr:nvPicPr>
        <xdr:cNvPr id="2" name="Text Box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228599"/>
          <a:ext cx="266700" cy="190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76200</xdr:rowOff>
    </xdr:from>
    <xdr:to>
      <xdr:col>0</xdr:col>
      <xdr:colOff>304800</xdr:colOff>
      <xdr:row>2</xdr:row>
      <xdr:rowOff>19050</xdr:rowOff>
    </xdr:to>
    <xdr:pic>
      <xdr:nvPicPr>
        <xdr:cNvPr id="3" name="Text Box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50"/>
          <a:ext cx="2857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4</xdr:row>
      <xdr:rowOff>0</xdr:rowOff>
    </xdr:from>
    <xdr:to>
      <xdr:col>4</xdr:col>
      <xdr:colOff>247650</xdr:colOff>
      <xdr:row>4</xdr:row>
      <xdr:rowOff>19050</xdr:rowOff>
    </xdr:to>
    <xdr:pic>
      <xdr:nvPicPr>
        <xdr:cNvPr id="4" name="Text Box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428750"/>
          <a:ext cx="1809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6" sqref="B6:B13"/>
    </sheetView>
  </sheetViews>
  <sheetFormatPr defaultRowHeight="15.75"/>
  <cols>
    <col min="1" max="1" width="13.42578125" customWidth="1"/>
    <col min="2" max="2" width="19.28515625" customWidth="1"/>
  </cols>
  <sheetData>
    <row r="1" spans="1:6">
      <c r="D1" s="93"/>
      <c r="E1" s="123"/>
    </row>
    <row r="2" spans="1:6">
      <c r="F2" s="94"/>
    </row>
    <row r="3" spans="1:6">
      <c r="B3" s="94"/>
      <c r="C3" s="94"/>
      <c r="D3" s="94"/>
      <c r="E3" s="176"/>
    </row>
    <row r="4" spans="1:6">
      <c r="B4" s="94"/>
      <c r="C4" s="94"/>
      <c r="D4" s="110"/>
      <c r="E4" s="94"/>
    </row>
    <row r="5" spans="1:6">
      <c r="B5" s="94"/>
      <c r="C5" s="94"/>
      <c r="D5" s="94"/>
      <c r="E5" s="94"/>
    </row>
    <row r="6" spans="1:6">
      <c r="A6" t="s">
        <v>228</v>
      </c>
      <c r="B6" s="94" t="s">
        <v>256</v>
      </c>
    </row>
    <row r="7" spans="1:6">
      <c r="A7" t="s">
        <v>229</v>
      </c>
      <c r="B7" s="111">
        <v>260727</v>
      </c>
    </row>
    <row r="8" spans="1:6">
      <c r="A8" t="s">
        <v>230</v>
      </c>
      <c r="B8" s="94" t="s">
        <v>257</v>
      </c>
    </row>
    <row r="9" spans="1:6">
      <c r="A9" t="s">
        <v>231</v>
      </c>
      <c r="B9" s="94" t="s">
        <v>258</v>
      </c>
    </row>
    <row r="10" spans="1:6">
      <c r="A10" t="s">
        <v>109</v>
      </c>
      <c r="B10" s="94" t="s">
        <v>259</v>
      </c>
    </row>
    <row r="11" spans="1:6">
      <c r="A11" t="s">
        <v>232</v>
      </c>
      <c r="B11" s="110" t="s">
        <v>260</v>
      </c>
    </row>
    <row r="12" spans="1:6">
      <c r="A12" t="s">
        <v>233</v>
      </c>
      <c r="B12" s="112" t="s">
        <v>261</v>
      </c>
    </row>
    <row r="13" spans="1:6">
      <c r="A13" t="s">
        <v>234</v>
      </c>
      <c r="B13" s="112" t="s">
        <v>261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view="pageBreakPreview" zoomScale="85" zoomScaleNormal="85" zoomScaleSheetLayoutView="85" workbookViewId="0">
      <selection activeCell="E16" sqref="E16"/>
    </sheetView>
  </sheetViews>
  <sheetFormatPr defaultRowHeight="16.5"/>
  <cols>
    <col min="1" max="1" width="23" style="72" customWidth="1"/>
    <col min="2" max="2" width="11.7109375" style="72" customWidth="1"/>
    <col min="3" max="3" width="10.85546875" style="72" customWidth="1"/>
    <col min="4" max="4" width="7.5703125" style="72" customWidth="1"/>
    <col min="5" max="5" width="30.28515625" style="72" customWidth="1"/>
    <col min="6" max="6" width="9.28515625" style="72" customWidth="1"/>
    <col min="7" max="7" width="27.42578125" style="72" customWidth="1"/>
    <col min="8" max="8" width="18.42578125" style="72" customWidth="1"/>
    <col min="9" max="9" width="9.85546875" style="72" customWidth="1"/>
    <col min="10" max="10" width="4.7109375" style="72" customWidth="1"/>
    <col min="11" max="11" width="14.140625" style="72" customWidth="1"/>
    <col min="12" max="12" width="9.140625" style="72"/>
    <col min="13" max="13" width="27.85546875" style="72" customWidth="1"/>
    <col min="14" max="14" width="11.42578125" style="72" customWidth="1"/>
    <col min="15" max="15" width="20.85546875" style="79" customWidth="1"/>
    <col min="16" max="16" width="15.140625" style="80" customWidth="1"/>
    <col min="17" max="17" width="23" style="72" customWidth="1"/>
    <col min="18" max="18" width="12.7109375" style="72" customWidth="1"/>
    <col min="19" max="19" width="12.140625" style="72" customWidth="1"/>
    <col min="20" max="20" width="21.28515625" style="72" customWidth="1"/>
    <col min="21" max="22" width="9.140625" style="183"/>
    <col min="23" max="23" width="10.28515625" style="72" bestFit="1" customWidth="1"/>
    <col min="24" max="253" width="9.140625" style="72"/>
    <col min="254" max="254" width="23" style="72" customWidth="1"/>
    <col min="255" max="255" width="11.7109375" style="72" customWidth="1"/>
    <col min="256" max="256" width="10.85546875" style="72" customWidth="1"/>
    <col min="257" max="257" width="7.5703125" style="72" customWidth="1"/>
    <col min="258" max="258" width="30.28515625" style="72" customWidth="1"/>
    <col min="259" max="259" width="9.28515625" style="72" customWidth="1"/>
    <col min="260" max="260" width="27.42578125" style="72" customWidth="1"/>
    <col min="261" max="261" width="18.42578125" style="72" customWidth="1"/>
    <col min="262" max="262" width="9.85546875" style="72" customWidth="1"/>
    <col min="263" max="263" width="0" style="72" hidden="1" customWidth="1"/>
    <col min="264" max="264" width="4.7109375" style="72" customWidth="1"/>
    <col min="265" max="265" width="14.140625" style="72" customWidth="1"/>
    <col min="266" max="266" width="0" style="72" hidden="1" customWidth="1"/>
    <col min="267" max="267" width="9.140625" style="72"/>
    <col min="268" max="268" width="27.85546875" style="72" customWidth="1"/>
    <col min="269" max="269" width="11.42578125" style="72" customWidth="1"/>
    <col min="270" max="271" width="0" style="72" hidden="1" customWidth="1"/>
    <col min="272" max="273" width="12.42578125" style="72" customWidth="1"/>
    <col min="274" max="274" width="11.42578125" style="72" bestFit="1" customWidth="1"/>
    <col min="275" max="509" width="9.140625" style="72"/>
    <col min="510" max="510" width="23" style="72" customWidth="1"/>
    <col min="511" max="511" width="11.7109375" style="72" customWidth="1"/>
    <col min="512" max="512" width="10.85546875" style="72" customWidth="1"/>
    <col min="513" max="513" width="7.5703125" style="72" customWidth="1"/>
    <col min="514" max="514" width="30.28515625" style="72" customWidth="1"/>
    <col min="515" max="515" width="9.28515625" style="72" customWidth="1"/>
    <col min="516" max="516" width="27.42578125" style="72" customWidth="1"/>
    <col min="517" max="517" width="18.42578125" style="72" customWidth="1"/>
    <col min="518" max="518" width="9.85546875" style="72" customWidth="1"/>
    <col min="519" max="519" width="0" style="72" hidden="1" customWidth="1"/>
    <col min="520" max="520" width="4.7109375" style="72" customWidth="1"/>
    <col min="521" max="521" width="14.140625" style="72" customWidth="1"/>
    <col min="522" max="522" width="0" style="72" hidden="1" customWidth="1"/>
    <col min="523" max="523" width="9.140625" style="72"/>
    <col min="524" max="524" width="27.85546875" style="72" customWidth="1"/>
    <col min="525" max="525" width="11.42578125" style="72" customWidth="1"/>
    <col min="526" max="527" width="0" style="72" hidden="1" customWidth="1"/>
    <col min="528" max="529" width="12.42578125" style="72" customWidth="1"/>
    <col min="530" max="530" width="11.42578125" style="72" bestFit="1" customWidth="1"/>
    <col min="531" max="765" width="9.140625" style="72"/>
    <col min="766" max="766" width="23" style="72" customWidth="1"/>
    <col min="767" max="767" width="11.7109375" style="72" customWidth="1"/>
    <col min="768" max="768" width="10.85546875" style="72" customWidth="1"/>
    <col min="769" max="769" width="7.5703125" style="72" customWidth="1"/>
    <col min="770" max="770" width="30.28515625" style="72" customWidth="1"/>
    <col min="771" max="771" width="9.28515625" style="72" customWidth="1"/>
    <col min="772" max="772" width="27.42578125" style="72" customWidth="1"/>
    <col min="773" max="773" width="18.42578125" style="72" customWidth="1"/>
    <col min="774" max="774" width="9.85546875" style="72" customWidth="1"/>
    <col min="775" max="775" width="0" style="72" hidden="1" customWidth="1"/>
    <col min="776" max="776" width="4.7109375" style="72" customWidth="1"/>
    <col min="777" max="777" width="14.140625" style="72" customWidth="1"/>
    <col min="778" max="778" width="0" style="72" hidden="1" customWidth="1"/>
    <col min="779" max="779" width="9.140625" style="72"/>
    <col min="780" max="780" width="27.85546875" style="72" customWidth="1"/>
    <col min="781" max="781" width="11.42578125" style="72" customWidth="1"/>
    <col min="782" max="783" width="0" style="72" hidden="1" customWidth="1"/>
    <col min="784" max="785" width="12.42578125" style="72" customWidth="1"/>
    <col min="786" max="786" width="11.42578125" style="72" bestFit="1" customWidth="1"/>
    <col min="787" max="1021" width="9.140625" style="72"/>
    <col min="1022" max="1022" width="23" style="72" customWidth="1"/>
    <col min="1023" max="1023" width="11.7109375" style="72" customWidth="1"/>
    <col min="1024" max="1024" width="10.85546875" style="72" customWidth="1"/>
    <col min="1025" max="1025" width="7.5703125" style="72" customWidth="1"/>
    <col min="1026" max="1026" width="30.28515625" style="72" customWidth="1"/>
    <col min="1027" max="1027" width="9.28515625" style="72" customWidth="1"/>
    <col min="1028" max="1028" width="27.42578125" style="72" customWidth="1"/>
    <col min="1029" max="1029" width="18.42578125" style="72" customWidth="1"/>
    <col min="1030" max="1030" width="9.85546875" style="72" customWidth="1"/>
    <col min="1031" max="1031" width="0" style="72" hidden="1" customWidth="1"/>
    <col min="1032" max="1032" width="4.7109375" style="72" customWidth="1"/>
    <col min="1033" max="1033" width="14.140625" style="72" customWidth="1"/>
    <col min="1034" max="1034" width="0" style="72" hidden="1" customWidth="1"/>
    <col min="1035" max="1035" width="9.140625" style="72"/>
    <col min="1036" max="1036" width="27.85546875" style="72" customWidth="1"/>
    <col min="1037" max="1037" width="11.42578125" style="72" customWidth="1"/>
    <col min="1038" max="1039" width="0" style="72" hidden="1" customWidth="1"/>
    <col min="1040" max="1041" width="12.42578125" style="72" customWidth="1"/>
    <col min="1042" max="1042" width="11.42578125" style="72" bestFit="1" customWidth="1"/>
    <col min="1043" max="1277" width="9.140625" style="72"/>
    <col min="1278" max="1278" width="23" style="72" customWidth="1"/>
    <col min="1279" max="1279" width="11.7109375" style="72" customWidth="1"/>
    <col min="1280" max="1280" width="10.85546875" style="72" customWidth="1"/>
    <col min="1281" max="1281" width="7.5703125" style="72" customWidth="1"/>
    <col min="1282" max="1282" width="30.28515625" style="72" customWidth="1"/>
    <col min="1283" max="1283" width="9.28515625" style="72" customWidth="1"/>
    <col min="1284" max="1284" width="27.42578125" style="72" customWidth="1"/>
    <col min="1285" max="1285" width="18.42578125" style="72" customWidth="1"/>
    <col min="1286" max="1286" width="9.85546875" style="72" customWidth="1"/>
    <col min="1287" max="1287" width="0" style="72" hidden="1" customWidth="1"/>
    <col min="1288" max="1288" width="4.7109375" style="72" customWidth="1"/>
    <col min="1289" max="1289" width="14.140625" style="72" customWidth="1"/>
    <col min="1290" max="1290" width="0" style="72" hidden="1" customWidth="1"/>
    <col min="1291" max="1291" width="9.140625" style="72"/>
    <col min="1292" max="1292" width="27.85546875" style="72" customWidth="1"/>
    <col min="1293" max="1293" width="11.42578125" style="72" customWidth="1"/>
    <col min="1294" max="1295" width="0" style="72" hidden="1" customWidth="1"/>
    <col min="1296" max="1297" width="12.42578125" style="72" customWidth="1"/>
    <col min="1298" max="1298" width="11.42578125" style="72" bestFit="1" customWidth="1"/>
    <col min="1299" max="1533" width="9.140625" style="72"/>
    <col min="1534" max="1534" width="23" style="72" customWidth="1"/>
    <col min="1535" max="1535" width="11.7109375" style="72" customWidth="1"/>
    <col min="1536" max="1536" width="10.85546875" style="72" customWidth="1"/>
    <col min="1537" max="1537" width="7.5703125" style="72" customWidth="1"/>
    <col min="1538" max="1538" width="30.28515625" style="72" customWidth="1"/>
    <col min="1539" max="1539" width="9.28515625" style="72" customWidth="1"/>
    <col min="1540" max="1540" width="27.42578125" style="72" customWidth="1"/>
    <col min="1541" max="1541" width="18.42578125" style="72" customWidth="1"/>
    <col min="1542" max="1542" width="9.85546875" style="72" customWidth="1"/>
    <col min="1543" max="1543" width="0" style="72" hidden="1" customWidth="1"/>
    <col min="1544" max="1544" width="4.7109375" style="72" customWidth="1"/>
    <col min="1545" max="1545" width="14.140625" style="72" customWidth="1"/>
    <col min="1546" max="1546" width="0" style="72" hidden="1" customWidth="1"/>
    <col min="1547" max="1547" width="9.140625" style="72"/>
    <col min="1548" max="1548" width="27.85546875" style="72" customWidth="1"/>
    <col min="1549" max="1549" width="11.42578125" style="72" customWidth="1"/>
    <col min="1550" max="1551" width="0" style="72" hidden="1" customWidth="1"/>
    <col min="1552" max="1553" width="12.42578125" style="72" customWidth="1"/>
    <col min="1554" max="1554" width="11.42578125" style="72" bestFit="1" customWidth="1"/>
    <col min="1555" max="1789" width="9.140625" style="72"/>
    <col min="1790" max="1790" width="23" style="72" customWidth="1"/>
    <col min="1791" max="1791" width="11.7109375" style="72" customWidth="1"/>
    <col min="1792" max="1792" width="10.85546875" style="72" customWidth="1"/>
    <col min="1793" max="1793" width="7.5703125" style="72" customWidth="1"/>
    <col min="1794" max="1794" width="30.28515625" style="72" customWidth="1"/>
    <col min="1795" max="1795" width="9.28515625" style="72" customWidth="1"/>
    <col min="1796" max="1796" width="27.42578125" style="72" customWidth="1"/>
    <col min="1797" max="1797" width="18.42578125" style="72" customWidth="1"/>
    <col min="1798" max="1798" width="9.85546875" style="72" customWidth="1"/>
    <col min="1799" max="1799" width="0" style="72" hidden="1" customWidth="1"/>
    <col min="1800" max="1800" width="4.7109375" style="72" customWidth="1"/>
    <col min="1801" max="1801" width="14.140625" style="72" customWidth="1"/>
    <col min="1802" max="1802" width="0" style="72" hidden="1" customWidth="1"/>
    <col min="1803" max="1803" width="9.140625" style="72"/>
    <col min="1804" max="1804" width="27.85546875" style="72" customWidth="1"/>
    <col min="1805" max="1805" width="11.42578125" style="72" customWidth="1"/>
    <col min="1806" max="1807" width="0" style="72" hidden="1" customWidth="1"/>
    <col min="1808" max="1809" width="12.42578125" style="72" customWidth="1"/>
    <col min="1810" max="1810" width="11.42578125" style="72" bestFit="1" customWidth="1"/>
    <col min="1811" max="2045" width="9.140625" style="72"/>
    <col min="2046" max="2046" width="23" style="72" customWidth="1"/>
    <col min="2047" max="2047" width="11.7109375" style="72" customWidth="1"/>
    <col min="2048" max="2048" width="10.85546875" style="72" customWidth="1"/>
    <col min="2049" max="2049" width="7.5703125" style="72" customWidth="1"/>
    <col min="2050" max="2050" width="30.28515625" style="72" customWidth="1"/>
    <col min="2051" max="2051" width="9.28515625" style="72" customWidth="1"/>
    <col min="2052" max="2052" width="27.42578125" style="72" customWidth="1"/>
    <col min="2053" max="2053" width="18.42578125" style="72" customWidth="1"/>
    <col min="2054" max="2054" width="9.85546875" style="72" customWidth="1"/>
    <col min="2055" max="2055" width="0" style="72" hidden="1" customWidth="1"/>
    <col min="2056" max="2056" width="4.7109375" style="72" customWidth="1"/>
    <col min="2057" max="2057" width="14.140625" style="72" customWidth="1"/>
    <col min="2058" max="2058" width="0" style="72" hidden="1" customWidth="1"/>
    <col min="2059" max="2059" width="9.140625" style="72"/>
    <col min="2060" max="2060" width="27.85546875" style="72" customWidth="1"/>
    <col min="2061" max="2061" width="11.42578125" style="72" customWidth="1"/>
    <col min="2062" max="2063" width="0" style="72" hidden="1" customWidth="1"/>
    <col min="2064" max="2065" width="12.42578125" style="72" customWidth="1"/>
    <col min="2066" max="2066" width="11.42578125" style="72" bestFit="1" customWidth="1"/>
    <col min="2067" max="2301" width="9.140625" style="72"/>
    <col min="2302" max="2302" width="23" style="72" customWidth="1"/>
    <col min="2303" max="2303" width="11.7109375" style="72" customWidth="1"/>
    <col min="2304" max="2304" width="10.85546875" style="72" customWidth="1"/>
    <col min="2305" max="2305" width="7.5703125" style="72" customWidth="1"/>
    <col min="2306" max="2306" width="30.28515625" style="72" customWidth="1"/>
    <col min="2307" max="2307" width="9.28515625" style="72" customWidth="1"/>
    <col min="2308" max="2308" width="27.42578125" style="72" customWidth="1"/>
    <col min="2309" max="2309" width="18.42578125" style="72" customWidth="1"/>
    <col min="2310" max="2310" width="9.85546875" style="72" customWidth="1"/>
    <col min="2311" max="2311" width="0" style="72" hidden="1" customWidth="1"/>
    <col min="2312" max="2312" width="4.7109375" style="72" customWidth="1"/>
    <col min="2313" max="2313" width="14.140625" style="72" customWidth="1"/>
    <col min="2314" max="2314" width="0" style="72" hidden="1" customWidth="1"/>
    <col min="2315" max="2315" width="9.140625" style="72"/>
    <col min="2316" max="2316" width="27.85546875" style="72" customWidth="1"/>
    <col min="2317" max="2317" width="11.42578125" style="72" customWidth="1"/>
    <col min="2318" max="2319" width="0" style="72" hidden="1" customWidth="1"/>
    <col min="2320" max="2321" width="12.42578125" style="72" customWidth="1"/>
    <col min="2322" max="2322" width="11.42578125" style="72" bestFit="1" customWidth="1"/>
    <col min="2323" max="2557" width="9.140625" style="72"/>
    <col min="2558" max="2558" width="23" style="72" customWidth="1"/>
    <col min="2559" max="2559" width="11.7109375" style="72" customWidth="1"/>
    <col min="2560" max="2560" width="10.85546875" style="72" customWidth="1"/>
    <col min="2561" max="2561" width="7.5703125" style="72" customWidth="1"/>
    <col min="2562" max="2562" width="30.28515625" style="72" customWidth="1"/>
    <col min="2563" max="2563" width="9.28515625" style="72" customWidth="1"/>
    <col min="2564" max="2564" width="27.42578125" style="72" customWidth="1"/>
    <col min="2565" max="2565" width="18.42578125" style="72" customWidth="1"/>
    <col min="2566" max="2566" width="9.85546875" style="72" customWidth="1"/>
    <col min="2567" max="2567" width="0" style="72" hidden="1" customWidth="1"/>
    <col min="2568" max="2568" width="4.7109375" style="72" customWidth="1"/>
    <col min="2569" max="2569" width="14.140625" style="72" customWidth="1"/>
    <col min="2570" max="2570" width="0" style="72" hidden="1" customWidth="1"/>
    <col min="2571" max="2571" width="9.140625" style="72"/>
    <col min="2572" max="2572" width="27.85546875" style="72" customWidth="1"/>
    <col min="2573" max="2573" width="11.42578125" style="72" customWidth="1"/>
    <col min="2574" max="2575" width="0" style="72" hidden="1" customWidth="1"/>
    <col min="2576" max="2577" width="12.42578125" style="72" customWidth="1"/>
    <col min="2578" max="2578" width="11.42578125" style="72" bestFit="1" customWidth="1"/>
    <col min="2579" max="2813" width="9.140625" style="72"/>
    <col min="2814" max="2814" width="23" style="72" customWidth="1"/>
    <col min="2815" max="2815" width="11.7109375" style="72" customWidth="1"/>
    <col min="2816" max="2816" width="10.85546875" style="72" customWidth="1"/>
    <col min="2817" max="2817" width="7.5703125" style="72" customWidth="1"/>
    <col min="2818" max="2818" width="30.28515625" style="72" customWidth="1"/>
    <col min="2819" max="2819" width="9.28515625" style="72" customWidth="1"/>
    <col min="2820" max="2820" width="27.42578125" style="72" customWidth="1"/>
    <col min="2821" max="2821" width="18.42578125" style="72" customWidth="1"/>
    <col min="2822" max="2822" width="9.85546875" style="72" customWidth="1"/>
    <col min="2823" max="2823" width="0" style="72" hidden="1" customWidth="1"/>
    <col min="2824" max="2824" width="4.7109375" style="72" customWidth="1"/>
    <col min="2825" max="2825" width="14.140625" style="72" customWidth="1"/>
    <col min="2826" max="2826" width="0" style="72" hidden="1" customWidth="1"/>
    <col min="2827" max="2827" width="9.140625" style="72"/>
    <col min="2828" max="2828" width="27.85546875" style="72" customWidth="1"/>
    <col min="2829" max="2829" width="11.42578125" style="72" customWidth="1"/>
    <col min="2830" max="2831" width="0" style="72" hidden="1" customWidth="1"/>
    <col min="2832" max="2833" width="12.42578125" style="72" customWidth="1"/>
    <col min="2834" max="2834" width="11.42578125" style="72" bestFit="1" customWidth="1"/>
    <col min="2835" max="3069" width="9.140625" style="72"/>
    <col min="3070" max="3070" width="23" style="72" customWidth="1"/>
    <col min="3071" max="3071" width="11.7109375" style="72" customWidth="1"/>
    <col min="3072" max="3072" width="10.85546875" style="72" customWidth="1"/>
    <col min="3073" max="3073" width="7.5703125" style="72" customWidth="1"/>
    <col min="3074" max="3074" width="30.28515625" style="72" customWidth="1"/>
    <col min="3075" max="3075" width="9.28515625" style="72" customWidth="1"/>
    <col min="3076" max="3076" width="27.42578125" style="72" customWidth="1"/>
    <col min="3077" max="3077" width="18.42578125" style="72" customWidth="1"/>
    <col min="3078" max="3078" width="9.85546875" style="72" customWidth="1"/>
    <col min="3079" max="3079" width="0" style="72" hidden="1" customWidth="1"/>
    <col min="3080" max="3080" width="4.7109375" style="72" customWidth="1"/>
    <col min="3081" max="3081" width="14.140625" style="72" customWidth="1"/>
    <col min="3082" max="3082" width="0" style="72" hidden="1" customWidth="1"/>
    <col min="3083" max="3083" width="9.140625" style="72"/>
    <col min="3084" max="3084" width="27.85546875" style="72" customWidth="1"/>
    <col min="3085" max="3085" width="11.42578125" style="72" customWidth="1"/>
    <col min="3086" max="3087" width="0" style="72" hidden="1" customWidth="1"/>
    <col min="3088" max="3089" width="12.42578125" style="72" customWidth="1"/>
    <col min="3090" max="3090" width="11.42578125" style="72" bestFit="1" customWidth="1"/>
    <col min="3091" max="3325" width="9.140625" style="72"/>
    <col min="3326" max="3326" width="23" style="72" customWidth="1"/>
    <col min="3327" max="3327" width="11.7109375" style="72" customWidth="1"/>
    <col min="3328" max="3328" width="10.85546875" style="72" customWidth="1"/>
    <col min="3329" max="3329" width="7.5703125" style="72" customWidth="1"/>
    <col min="3330" max="3330" width="30.28515625" style="72" customWidth="1"/>
    <col min="3331" max="3331" width="9.28515625" style="72" customWidth="1"/>
    <col min="3332" max="3332" width="27.42578125" style="72" customWidth="1"/>
    <col min="3333" max="3333" width="18.42578125" style="72" customWidth="1"/>
    <col min="3334" max="3334" width="9.85546875" style="72" customWidth="1"/>
    <col min="3335" max="3335" width="0" style="72" hidden="1" customWidth="1"/>
    <col min="3336" max="3336" width="4.7109375" style="72" customWidth="1"/>
    <col min="3337" max="3337" width="14.140625" style="72" customWidth="1"/>
    <col min="3338" max="3338" width="0" style="72" hidden="1" customWidth="1"/>
    <col min="3339" max="3339" width="9.140625" style="72"/>
    <col min="3340" max="3340" width="27.85546875" style="72" customWidth="1"/>
    <col min="3341" max="3341" width="11.42578125" style="72" customWidth="1"/>
    <col min="3342" max="3343" width="0" style="72" hidden="1" customWidth="1"/>
    <col min="3344" max="3345" width="12.42578125" style="72" customWidth="1"/>
    <col min="3346" max="3346" width="11.42578125" style="72" bestFit="1" customWidth="1"/>
    <col min="3347" max="3581" width="9.140625" style="72"/>
    <col min="3582" max="3582" width="23" style="72" customWidth="1"/>
    <col min="3583" max="3583" width="11.7109375" style="72" customWidth="1"/>
    <col min="3584" max="3584" width="10.85546875" style="72" customWidth="1"/>
    <col min="3585" max="3585" width="7.5703125" style="72" customWidth="1"/>
    <col min="3586" max="3586" width="30.28515625" style="72" customWidth="1"/>
    <col min="3587" max="3587" width="9.28515625" style="72" customWidth="1"/>
    <col min="3588" max="3588" width="27.42578125" style="72" customWidth="1"/>
    <col min="3589" max="3589" width="18.42578125" style="72" customWidth="1"/>
    <col min="3590" max="3590" width="9.85546875" style="72" customWidth="1"/>
    <col min="3591" max="3591" width="0" style="72" hidden="1" customWidth="1"/>
    <col min="3592" max="3592" width="4.7109375" style="72" customWidth="1"/>
    <col min="3593" max="3593" width="14.140625" style="72" customWidth="1"/>
    <col min="3594" max="3594" width="0" style="72" hidden="1" customWidth="1"/>
    <col min="3595" max="3595" width="9.140625" style="72"/>
    <col min="3596" max="3596" width="27.85546875" style="72" customWidth="1"/>
    <col min="3597" max="3597" width="11.42578125" style="72" customWidth="1"/>
    <col min="3598" max="3599" width="0" style="72" hidden="1" customWidth="1"/>
    <col min="3600" max="3601" width="12.42578125" style="72" customWidth="1"/>
    <col min="3602" max="3602" width="11.42578125" style="72" bestFit="1" customWidth="1"/>
    <col min="3603" max="3837" width="9.140625" style="72"/>
    <col min="3838" max="3838" width="23" style="72" customWidth="1"/>
    <col min="3839" max="3839" width="11.7109375" style="72" customWidth="1"/>
    <col min="3840" max="3840" width="10.85546875" style="72" customWidth="1"/>
    <col min="3841" max="3841" width="7.5703125" style="72" customWidth="1"/>
    <col min="3842" max="3842" width="30.28515625" style="72" customWidth="1"/>
    <col min="3843" max="3843" width="9.28515625" style="72" customWidth="1"/>
    <col min="3844" max="3844" width="27.42578125" style="72" customWidth="1"/>
    <col min="3845" max="3845" width="18.42578125" style="72" customWidth="1"/>
    <col min="3846" max="3846" width="9.85546875" style="72" customWidth="1"/>
    <col min="3847" max="3847" width="0" style="72" hidden="1" customWidth="1"/>
    <col min="3848" max="3848" width="4.7109375" style="72" customWidth="1"/>
    <col min="3849" max="3849" width="14.140625" style="72" customWidth="1"/>
    <col min="3850" max="3850" width="0" style="72" hidden="1" customWidth="1"/>
    <col min="3851" max="3851" width="9.140625" style="72"/>
    <col min="3852" max="3852" width="27.85546875" style="72" customWidth="1"/>
    <col min="3853" max="3853" width="11.42578125" style="72" customWidth="1"/>
    <col min="3854" max="3855" width="0" style="72" hidden="1" customWidth="1"/>
    <col min="3856" max="3857" width="12.42578125" style="72" customWidth="1"/>
    <col min="3858" max="3858" width="11.42578125" style="72" bestFit="1" customWidth="1"/>
    <col min="3859" max="4093" width="9.140625" style="72"/>
    <col min="4094" max="4094" width="23" style="72" customWidth="1"/>
    <col min="4095" max="4095" width="11.7109375" style="72" customWidth="1"/>
    <col min="4096" max="4096" width="10.85546875" style="72" customWidth="1"/>
    <col min="4097" max="4097" width="7.5703125" style="72" customWidth="1"/>
    <col min="4098" max="4098" width="30.28515625" style="72" customWidth="1"/>
    <col min="4099" max="4099" width="9.28515625" style="72" customWidth="1"/>
    <col min="4100" max="4100" width="27.42578125" style="72" customWidth="1"/>
    <col min="4101" max="4101" width="18.42578125" style="72" customWidth="1"/>
    <col min="4102" max="4102" width="9.85546875" style="72" customWidth="1"/>
    <col min="4103" max="4103" width="0" style="72" hidden="1" customWidth="1"/>
    <col min="4104" max="4104" width="4.7109375" style="72" customWidth="1"/>
    <col min="4105" max="4105" width="14.140625" style="72" customWidth="1"/>
    <col min="4106" max="4106" width="0" style="72" hidden="1" customWidth="1"/>
    <col min="4107" max="4107" width="9.140625" style="72"/>
    <col min="4108" max="4108" width="27.85546875" style="72" customWidth="1"/>
    <col min="4109" max="4109" width="11.42578125" style="72" customWidth="1"/>
    <col min="4110" max="4111" width="0" style="72" hidden="1" customWidth="1"/>
    <col min="4112" max="4113" width="12.42578125" style="72" customWidth="1"/>
    <col min="4114" max="4114" width="11.42578125" style="72" bestFit="1" customWidth="1"/>
    <col min="4115" max="4349" width="9.140625" style="72"/>
    <col min="4350" max="4350" width="23" style="72" customWidth="1"/>
    <col min="4351" max="4351" width="11.7109375" style="72" customWidth="1"/>
    <col min="4352" max="4352" width="10.85546875" style="72" customWidth="1"/>
    <col min="4353" max="4353" width="7.5703125" style="72" customWidth="1"/>
    <col min="4354" max="4354" width="30.28515625" style="72" customWidth="1"/>
    <col min="4355" max="4355" width="9.28515625" style="72" customWidth="1"/>
    <col min="4356" max="4356" width="27.42578125" style="72" customWidth="1"/>
    <col min="4357" max="4357" width="18.42578125" style="72" customWidth="1"/>
    <col min="4358" max="4358" width="9.85546875" style="72" customWidth="1"/>
    <col min="4359" max="4359" width="0" style="72" hidden="1" customWidth="1"/>
    <col min="4360" max="4360" width="4.7109375" style="72" customWidth="1"/>
    <col min="4361" max="4361" width="14.140625" style="72" customWidth="1"/>
    <col min="4362" max="4362" width="0" style="72" hidden="1" customWidth="1"/>
    <col min="4363" max="4363" width="9.140625" style="72"/>
    <col min="4364" max="4364" width="27.85546875" style="72" customWidth="1"/>
    <col min="4365" max="4365" width="11.42578125" style="72" customWidth="1"/>
    <col min="4366" max="4367" width="0" style="72" hidden="1" customWidth="1"/>
    <col min="4368" max="4369" width="12.42578125" style="72" customWidth="1"/>
    <col min="4370" max="4370" width="11.42578125" style="72" bestFit="1" customWidth="1"/>
    <col min="4371" max="4605" width="9.140625" style="72"/>
    <col min="4606" max="4606" width="23" style="72" customWidth="1"/>
    <col min="4607" max="4607" width="11.7109375" style="72" customWidth="1"/>
    <col min="4608" max="4608" width="10.85546875" style="72" customWidth="1"/>
    <col min="4609" max="4609" width="7.5703125" style="72" customWidth="1"/>
    <col min="4610" max="4610" width="30.28515625" style="72" customWidth="1"/>
    <col min="4611" max="4611" width="9.28515625" style="72" customWidth="1"/>
    <col min="4612" max="4612" width="27.42578125" style="72" customWidth="1"/>
    <col min="4613" max="4613" width="18.42578125" style="72" customWidth="1"/>
    <col min="4614" max="4614" width="9.85546875" style="72" customWidth="1"/>
    <col min="4615" max="4615" width="0" style="72" hidden="1" customWidth="1"/>
    <col min="4616" max="4616" width="4.7109375" style="72" customWidth="1"/>
    <col min="4617" max="4617" width="14.140625" style="72" customWidth="1"/>
    <col min="4618" max="4618" width="0" style="72" hidden="1" customWidth="1"/>
    <col min="4619" max="4619" width="9.140625" style="72"/>
    <col min="4620" max="4620" width="27.85546875" style="72" customWidth="1"/>
    <col min="4621" max="4621" width="11.42578125" style="72" customWidth="1"/>
    <col min="4622" max="4623" width="0" style="72" hidden="1" customWidth="1"/>
    <col min="4624" max="4625" width="12.42578125" style="72" customWidth="1"/>
    <col min="4626" max="4626" width="11.42578125" style="72" bestFit="1" customWidth="1"/>
    <col min="4627" max="4861" width="9.140625" style="72"/>
    <col min="4862" max="4862" width="23" style="72" customWidth="1"/>
    <col min="4863" max="4863" width="11.7109375" style="72" customWidth="1"/>
    <col min="4864" max="4864" width="10.85546875" style="72" customWidth="1"/>
    <col min="4865" max="4865" width="7.5703125" style="72" customWidth="1"/>
    <col min="4866" max="4866" width="30.28515625" style="72" customWidth="1"/>
    <col min="4867" max="4867" width="9.28515625" style="72" customWidth="1"/>
    <col min="4868" max="4868" width="27.42578125" style="72" customWidth="1"/>
    <col min="4869" max="4869" width="18.42578125" style="72" customWidth="1"/>
    <col min="4870" max="4870" width="9.85546875" style="72" customWidth="1"/>
    <col min="4871" max="4871" width="0" style="72" hidden="1" customWidth="1"/>
    <col min="4872" max="4872" width="4.7109375" style="72" customWidth="1"/>
    <col min="4873" max="4873" width="14.140625" style="72" customWidth="1"/>
    <col min="4874" max="4874" width="0" style="72" hidden="1" customWidth="1"/>
    <col min="4875" max="4875" width="9.140625" style="72"/>
    <col min="4876" max="4876" width="27.85546875" style="72" customWidth="1"/>
    <col min="4877" max="4877" width="11.42578125" style="72" customWidth="1"/>
    <col min="4878" max="4879" width="0" style="72" hidden="1" customWidth="1"/>
    <col min="4880" max="4881" width="12.42578125" style="72" customWidth="1"/>
    <col min="4882" max="4882" width="11.42578125" style="72" bestFit="1" customWidth="1"/>
    <col min="4883" max="5117" width="9.140625" style="72"/>
    <col min="5118" max="5118" width="23" style="72" customWidth="1"/>
    <col min="5119" max="5119" width="11.7109375" style="72" customWidth="1"/>
    <col min="5120" max="5120" width="10.85546875" style="72" customWidth="1"/>
    <col min="5121" max="5121" width="7.5703125" style="72" customWidth="1"/>
    <col min="5122" max="5122" width="30.28515625" style="72" customWidth="1"/>
    <col min="5123" max="5123" width="9.28515625" style="72" customWidth="1"/>
    <col min="5124" max="5124" width="27.42578125" style="72" customWidth="1"/>
    <col min="5125" max="5125" width="18.42578125" style="72" customWidth="1"/>
    <col min="5126" max="5126" width="9.85546875" style="72" customWidth="1"/>
    <col min="5127" max="5127" width="0" style="72" hidden="1" customWidth="1"/>
    <col min="5128" max="5128" width="4.7109375" style="72" customWidth="1"/>
    <col min="5129" max="5129" width="14.140625" style="72" customWidth="1"/>
    <col min="5130" max="5130" width="0" style="72" hidden="1" customWidth="1"/>
    <col min="5131" max="5131" width="9.140625" style="72"/>
    <col min="5132" max="5132" width="27.85546875" style="72" customWidth="1"/>
    <col min="5133" max="5133" width="11.42578125" style="72" customWidth="1"/>
    <col min="5134" max="5135" width="0" style="72" hidden="1" customWidth="1"/>
    <col min="5136" max="5137" width="12.42578125" style="72" customWidth="1"/>
    <col min="5138" max="5138" width="11.42578125" style="72" bestFit="1" customWidth="1"/>
    <col min="5139" max="5373" width="9.140625" style="72"/>
    <col min="5374" max="5374" width="23" style="72" customWidth="1"/>
    <col min="5375" max="5375" width="11.7109375" style="72" customWidth="1"/>
    <col min="5376" max="5376" width="10.85546875" style="72" customWidth="1"/>
    <col min="5377" max="5377" width="7.5703125" style="72" customWidth="1"/>
    <col min="5378" max="5378" width="30.28515625" style="72" customWidth="1"/>
    <col min="5379" max="5379" width="9.28515625" style="72" customWidth="1"/>
    <col min="5380" max="5380" width="27.42578125" style="72" customWidth="1"/>
    <col min="5381" max="5381" width="18.42578125" style="72" customWidth="1"/>
    <col min="5382" max="5382" width="9.85546875" style="72" customWidth="1"/>
    <col min="5383" max="5383" width="0" style="72" hidden="1" customWidth="1"/>
    <col min="5384" max="5384" width="4.7109375" style="72" customWidth="1"/>
    <col min="5385" max="5385" width="14.140625" style="72" customWidth="1"/>
    <col min="5386" max="5386" width="0" style="72" hidden="1" customWidth="1"/>
    <col min="5387" max="5387" width="9.140625" style="72"/>
    <col min="5388" max="5388" width="27.85546875" style="72" customWidth="1"/>
    <col min="5389" max="5389" width="11.42578125" style="72" customWidth="1"/>
    <col min="5390" max="5391" width="0" style="72" hidden="1" customWidth="1"/>
    <col min="5392" max="5393" width="12.42578125" style="72" customWidth="1"/>
    <col min="5394" max="5394" width="11.42578125" style="72" bestFit="1" customWidth="1"/>
    <col min="5395" max="5629" width="9.140625" style="72"/>
    <col min="5630" max="5630" width="23" style="72" customWidth="1"/>
    <col min="5631" max="5631" width="11.7109375" style="72" customWidth="1"/>
    <col min="5632" max="5632" width="10.85546875" style="72" customWidth="1"/>
    <col min="5633" max="5633" width="7.5703125" style="72" customWidth="1"/>
    <col min="5634" max="5634" width="30.28515625" style="72" customWidth="1"/>
    <col min="5635" max="5635" width="9.28515625" style="72" customWidth="1"/>
    <col min="5636" max="5636" width="27.42578125" style="72" customWidth="1"/>
    <col min="5637" max="5637" width="18.42578125" style="72" customWidth="1"/>
    <col min="5638" max="5638" width="9.85546875" style="72" customWidth="1"/>
    <col min="5639" max="5639" width="0" style="72" hidden="1" customWidth="1"/>
    <col min="5640" max="5640" width="4.7109375" style="72" customWidth="1"/>
    <col min="5641" max="5641" width="14.140625" style="72" customWidth="1"/>
    <col min="5642" max="5642" width="0" style="72" hidden="1" customWidth="1"/>
    <col min="5643" max="5643" width="9.140625" style="72"/>
    <col min="5644" max="5644" width="27.85546875" style="72" customWidth="1"/>
    <col min="5645" max="5645" width="11.42578125" style="72" customWidth="1"/>
    <col min="5646" max="5647" width="0" style="72" hidden="1" customWidth="1"/>
    <col min="5648" max="5649" width="12.42578125" style="72" customWidth="1"/>
    <col min="5650" max="5650" width="11.42578125" style="72" bestFit="1" customWidth="1"/>
    <col min="5651" max="5885" width="9.140625" style="72"/>
    <col min="5886" max="5886" width="23" style="72" customWidth="1"/>
    <col min="5887" max="5887" width="11.7109375" style="72" customWidth="1"/>
    <col min="5888" max="5888" width="10.85546875" style="72" customWidth="1"/>
    <col min="5889" max="5889" width="7.5703125" style="72" customWidth="1"/>
    <col min="5890" max="5890" width="30.28515625" style="72" customWidth="1"/>
    <col min="5891" max="5891" width="9.28515625" style="72" customWidth="1"/>
    <col min="5892" max="5892" width="27.42578125" style="72" customWidth="1"/>
    <col min="5893" max="5893" width="18.42578125" style="72" customWidth="1"/>
    <col min="5894" max="5894" width="9.85546875" style="72" customWidth="1"/>
    <col min="5895" max="5895" width="0" style="72" hidden="1" customWidth="1"/>
    <col min="5896" max="5896" width="4.7109375" style="72" customWidth="1"/>
    <col min="5897" max="5897" width="14.140625" style="72" customWidth="1"/>
    <col min="5898" max="5898" width="0" style="72" hidden="1" customWidth="1"/>
    <col min="5899" max="5899" width="9.140625" style="72"/>
    <col min="5900" max="5900" width="27.85546875" style="72" customWidth="1"/>
    <col min="5901" max="5901" width="11.42578125" style="72" customWidth="1"/>
    <col min="5902" max="5903" width="0" style="72" hidden="1" customWidth="1"/>
    <col min="5904" max="5905" width="12.42578125" style="72" customWidth="1"/>
    <col min="5906" max="5906" width="11.42578125" style="72" bestFit="1" customWidth="1"/>
    <col min="5907" max="6141" width="9.140625" style="72"/>
    <col min="6142" max="6142" width="23" style="72" customWidth="1"/>
    <col min="6143" max="6143" width="11.7109375" style="72" customWidth="1"/>
    <col min="6144" max="6144" width="10.85546875" style="72" customWidth="1"/>
    <col min="6145" max="6145" width="7.5703125" style="72" customWidth="1"/>
    <col min="6146" max="6146" width="30.28515625" style="72" customWidth="1"/>
    <col min="6147" max="6147" width="9.28515625" style="72" customWidth="1"/>
    <col min="6148" max="6148" width="27.42578125" style="72" customWidth="1"/>
    <col min="6149" max="6149" width="18.42578125" style="72" customWidth="1"/>
    <col min="6150" max="6150" width="9.85546875" style="72" customWidth="1"/>
    <col min="6151" max="6151" width="0" style="72" hidden="1" customWidth="1"/>
    <col min="6152" max="6152" width="4.7109375" style="72" customWidth="1"/>
    <col min="6153" max="6153" width="14.140625" style="72" customWidth="1"/>
    <col min="6154" max="6154" width="0" style="72" hidden="1" customWidth="1"/>
    <col min="6155" max="6155" width="9.140625" style="72"/>
    <col min="6156" max="6156" width="27.85546875" style="72" customWidth="1"/>
    <col min="6157" max="6157" width="11.42578125" style="72" customWidth="1"/>
    <col min="6158" max="6159" width="0" style="72" hidden="1" customWidth="1"/>
    <col min="6160" max="6161" width="12.42578125" style="72" customWidth="1"/>
    <col min="6162" max="6162" width="11.42578125" style="72" bestFit="1" customWidth="1"/>
    <col min="6163" max="6397" width="9.140625" style="72"/>
    <col min="6398" max="6398" width="23" style="72" customWidth="1"/>
    <col min="6399" max="6399" width="11.7109375" style="72" customWidth="1"/>
    <col min="6400" max="6400" width="10.85546875" style="72" customWidth="1"/>
    <col min="6401" max="6401" width="7.5703125" style="72" customWidth="1"/>
    <col min="6402" max="6402" width="30.28515625" style="72" customWidth="1"/>
    <col min="6403" max="6403" width="9.28515625" style="72" customWidth="1"/>
    <col min="6404" max="6404" width="27.42578125" style="72" customWidth="1"/>
    <col min="6405" max="6405" width="18.42578125" style="72" customWidth="1"/>
    <col min="6406" max="6406" width="9.85546875" style="72" customWidth="1"/>
    <col min="6407" max="6407" width="0" style="72" hidden="1" customWidth="1"/>
    <col min="6408" max="6408" width="4.7109375" style="72" customWidth="1"/>
    <col min="6409" max="6409" width="14.140625" style="72" customWidth="1"/>
    <col min="6410" max="6410" width="0" style="72" hidden="1" customWidth="1"/>
    <col min="6411" max="6411" width="9.140625" style="72"/>
    <col min="6412" max="6412" width="27.85546875" style="72" customWidth="1"/>
    <col min="6413" max="6413" width="11.42578125" style="72" customWidth="1"/>
    <col min="6414" max="6415" width="0" style="72" hidden="1" customWidth="1"/>
    <col min="6416" max="6417" width="12.42578125" style="72" customWidth="1"/>
    <col min="6418" max="6418" width="11.42578125" style="72" bestFit="1" customWidth="1"/>
    <col min="6419" max="6653" width="9.140625" style="72"/>
    <col min="6654" max="6654" width="23" style="72" customWidth="1"/>
    <col min="6655" max="6655" width="11.7109375" style="72" customWidth="1"/>
    <col min="6656" max="6656" width="10.85546875" style="72" customWidth="1"/>
    <col min="6657" max="6657" width="7.5703125" style="72" customWidth="1"/>
    <col min="6658" max="6658" width="30.28515625" style="72" customWidth="1"/>
    <col min="6659" max="6659" width="9.28515625" style="72" customWidth="1"/>
    <col min="6660" max="6660" width="27.42578125" style="72" customWidth="1"/>
    <col min="6661" max="6661" width="18.42578125" style="72" customWidth="1"/>
    <col min="6662" max="6662" width="9.85546875" style="72" customWidth="1"/>
    <col min="6663" max="6663" width="0" style="72" hidden="1" customWidth="1"/>
    <col min="6664" max="6664" width="4.7109375" style="72" customWidth="1"/>
    <col min="6665" max="6665" width="14.140625" style="72" customWidth="1"/>
    <col min="6666" max="6666" width="0" style="72" hidden="1" customWidth="1"/>
    <col min="6667" max="6667" width="9.140625" style="72"/>
    <col min="6668" max="6668" width="27.85546875" style="72" customWidth="1"/>
    <col min="6669" max="6669" width="11.42578125" style="72" customWidth="1"/>
    <col min="6670" max="6671" width="0" style="72" hidden="1" customWidth="1"/>
    <col min="6672" max="6673" width="12.42578125" style="72" customWidth="1"/>
    <col min="6674" max="6674" width="11.42578125" style="72" bestFit="1" customWidth="1"/>
    <col min="6675" max="6909" width="9.140625" style="72"/>
    <col min="6910" max="6910" width="23" style="72" customWidth="1"/>
    <col min="6911" max="6911" width="11.7109375" style="72" customWidth="1"/>
    <col min="6912" max="6912" width="10.85546875" style="72" customWidth="1"/>
    <col min="6913" max="6913" width="7.5703125" style="72" customWidth="1"/>
    <col min="6914" max="6914" width="30.28515625" style="72" customWidth="1"/>
    <col min="6915" max="6915" width="9.28515625" style="72" customWidth="1"/>
    <col min="6916" max="6916" width="27.42578125" style="72" customWidth="1"/>
    <col min="6917" max="6917" width="18.42578125" style="72" customWidth="1"/>
    <col min="6918" max="6918" width="9.85546875" style="72" customWidth="1"/>
    <col min="6919" max="6919" width="0" style="72" hidden="1" customWidth="1"/>
    <col min="6920" max="6920" width="4.7109375" style="72" customWidth="1"/>
    <col min="6921" max="6921" width="14.140625" style="72" customWidth="1"/>
    <col min="6922" max="6922" width="0" style="72" hidden="1" customWidth="1"/>
    <col min="6923" max="6923" width="9.140625" style="72"/>
    <col min="6924" max="6924" width="27.85546875" style="72" customWidth="1"/>
    <col min="6925" max="6925" width="11.42578125" style="72" customWidth="1"/>
    <col min="6926" max="6927" width="0" style="72" hidden="1" customWidth="1"/>
    <col min="6928" max="6929" width="12.42578125" style="72" customWidth="1"/>
    <col min="6930" max="6930" width="11.42578125" style="72" bestFit="1" customWidth="1"/>
    <col min="6931" max="7165" width="9.140625" style="72"/>
    <col min="7166" max="7166" width="23" style="72" customWidth="1"/>
    <col min="7167" max="7167" width="11.7109375" style="72" customWidth="1"/>
    <col min="7168" max="7168" width="10.85546875" style="72" customWidth="1"/>
    <col min="7169" max="7169" width="7.5703125" style="72" customWidth="1"/>
    <col min="7170" max="7170" width="30.28515625" style="72" customWidth="1"/>
    <col min="7171" max="7171" width="9.28515625" style="72" customWidth="1"/>
    <col min="7172" max="7172" width="27.42578125" style="72" customWidth="1"/>
    <col min="7173" max="7173" width="18.42578125" style="72" customWidth="1"/>
    <col min="7174" max="7174" width="9.85546875" style="72" customWidth="1"/>
    <col min="7175" max="7175" width="0" style="72" hidden="1" customWidth="1"/>
    <col min="7176" max="7176" width="4.7109375" style="72" customWidth="1"/>
    <col min="7177" max="7177" width="14.140625" style="72" customWidth="1"/>
    <col min="7178" max="7178" width="0" style="72" hidden="1" customWidth="1"/>
    <col min="7179" max="7179" width="9.140625" style="72"/>
    <col min="7180" max="7180" width="27.85546875" style="72" customWidth="1"/>
    <col min="7181" max="7181" width="11.42578125" style="72" customWidth="1"/>
    <col min="7182" max="7183" width="0" style="72" hidden="1" customWidth="1"/>
    <col min="7184" max="7185" width="12.42578125" style="72" customWidth="1"/>
    <col min="7186" max="7186" width="11.42578125" style="72" bestFit="1" customWidth="1"/>
    <col min="7187" max="7421" width="9.140625" style="72"/>
    <col min="7422" max="7422" width="23" style="72" customWidth="1"/>
    <col min="7423" max="7423" width="11.7109375" style="72" customWidth="1"/>
    <col min="7424" max="7424" width="10.85546875" style="72" customWidth="1"/>
    <col min="7425" max="7425" width="7.5703125" style="72" customWidth="1"/>
    <col min="7426" max="7426" width="30.28515625" style="72" customWidth="1"/>
    <col min="7427" max="7427" width="9.28515625" style="72" customWidth="1"/>
    <col min="7428" max="7428" width="27.42578125" style="72" customWidth="1"/>
    <col min="7429" max="7429" width="18.42578125" style="72" customWidth="1"/>
    <col min="7430" max="7430" width="9.85546875" style="72" customWidth="1"/>
    <col min="7431" max="7431" width="0" style="72" hidden="1" customWidth="1"/>
    <col min="7432" max="7432" width="4.7109375" style="72" customWidth="1"/>
    <col min="7433" max="7433" width="14.140625" style="72" customWidth="1"/>
    <col min="7434" max="7434" width="0" style="72" hidden="1" customWidth="1"/>
    <col min="7435" max="7435" width="9.140625" style="72"/>
    <col min="7436" max="7436" width="27.85546875" style="72" customWidth="1"/>
    <col min="7437" max="7437" width="11.42578125" style="72" customWidth="1"/>
    <col min="7438" max="7439" width="0" style="72" hidden="1" customWidth="1"/>
    <col min="7440" max="7441" width="12.42578125" style="72" customWidth="1"/>
    <col min="7442" max="7442" width="11.42578125" style="72" bestFit="1" customWidth="1"/>
    <col min="7443" max="7677" width="9.140625" style="72"/>
    <col min="7678" max="7678" width="23" style="72" customWidth="1"/>
    <col min="7679" max="7679" width="11.7109375" style="72" customWidth="1"/>
    <col min="7680" max="7680" width="10.85546875" style="72" customWidth="1"/>
    <col min="7681" max="7681" width="7.5703125" style="72" customWidth="1"/>
    <col min="7682" max="7682" width="30.28515625" style="72" customWidth="1"/>
    <col min="7683" max="7683" width="9.28515625" style="72" customWidth="1"/>
    <col min="7684" max="7684" width="27.42578125" style="72" customWidth="1"/>
    <col min="7685" max="7685" width="18.42578125" style="72" customWidth="1"/>
    <col min="7686" max="7686" width="9.85546875" style="72" customWidth="1"/>
    <col min="7687" max="7687" width="0" style="72" hidden="1" customWidth="1"/>
    <col min="7688" max="7688" width="4.7109375" style="72" customWidth="1"/>
    <col min="7689" max="7689" width="14.140625" style="72" customWidth="1"/>
    <col min="7690" max="7690" width="0" style="72" hidden="1" customWidth="1"/>
    <col min="7691" max="7691" width="9.140625" style="72"/>
    <col min="7692" max="7692" width="27.85546875" style="72" customWidth="1"/>
    <col min="7693" max="7693" width="11.42578125" style="72" customWidth="1"/>
    <col min="7694" max="7695" width="0" style="72" hidden="1" customWidth="1"/>
    <col min="7696" max="7697" width="12.42578125" style="72" customWidth="1"/>
    <col min="7698" max="7698" width="11.42578125" style="72" bestFit="1" customWidth="1"/>
    <col min="7699" max="7933" width="9.140625" style="72"/>
    <col min="7934" max="7934" width="23" style="72" customWidth="1"/>
    <col min="7935" max="7935" width="11.7109375" style="72" customWidth="1"/>
    <col min="7936" max="7936" width="10.85546875" style="72" customWidth="1"/>
    <col min="7937" max="7937" width="7.5703125" style="72" customWidth="1"/>
    <col min="7938" max="7938" width="30.28515625" style="72" customWidth="1"/>
    <col min="7939" max="7939" width="9.28515625" style="72" customWidth="1"/>
    <col min="7940" max="7940" width="27.42578125" style="72" customWidth="1"/>
    <col min="7941" max="7941" width="18.42578125" style="72" customWidth="1"/>
    <col min="7942" max="7942" width="9.85546875" style="72" customWidth="1"/>
    <col min="7943" max="7943" width="0" style="72" hidden="1" customWidth="1"/>
    <col min="7944" max="7944" width="4.7109375" style="72" customWidth="1"/>
    <col min="7945" max="7945" width="14.140625" style="72" customWidth="1"/>
    <col min="7946" max="7946" width="0" style="72" hidden="1" customWidth="1"/>
    <col min="7947" max="7947" width="9.140625" style="72"/>
    <col min="7948" max="7948" width="27.85546875" style="72" customWidth="1"/>
    <col min="7949" max="7949" width="11.42578125" style="72" customWidth="1"/>
    <col min="7950" max="7951" width="0" style="72" hidden="1" customWidth="1"/>
    <col min="7952" max="7953" width="12.42578125" style="72" customWidth="1"/>
    <col min="7954" max="7954" width="11.42578125" style="72" bestFit="1" customWidth="1"/>
    <col min="7955" max="8189" width="9.140625" style="72"/>
    <col min="8190" max="8190" width="23" style="72" customWidth="1"/>
    <col min="8191" max="8191" width="11.7109375" style="72" customWidth="1"/>
    <col min="8192" max="8192" width="10.85546875" style="72" customWidth="1"/>
    <col min="8193" max="8193" width="7.5703125" style="72" customWidth="1"/>
    <col min="8194" max="8194" width="30.28515625" style="72" customWidth="1"/>
    <col min="8195" max="8195" width="9.28515625" style="72" customWidth="1"/>
    <col min="8196" max="8196" width="27.42578125" style="72" customWidth="1"/>
    <col min="8197" max="8197" width="18.42578125" style="72" customWidth="1"/>
    <col min="8198" max="8198" width="9.85546875" style="72" customWidth="1"/>
    <col min="8199" max="8199" width="0" style="72" hidden="1" customWidth="1"/>
    <col min="8200" max="8200" width="4.7109375" style="72" customWidth="1"/>
    <col min="8201" max="8201" width="14.140625" style="72" customWidth="1"/>
    <col min="8202" max="8202" width="0" style="72" hidden="1" customWidth="1"/>
    <col min="8203" max="8203" width="9.140625" style="72"/>
    <col min="8204" max="8204" width="27.85546875" style="72" customWidth="1"/>
    <col min="8205" max="8205" width="11.42578125" style="72" customWidth="1"/>
    <col min="8206" max="8207" width="0" style="72" hidden="1" customWidth="1"/>
    <col min="8208" max="8209" width="12.42578125" style="72" customWidth="1"/>
    <col min="8210" max="8210" width="11.42578125" style="72" bestFit="1" customWidth="1"/>
    <col min="8211" max="8445" width="9.140625" style="72"/>
    <col min="8446" max="8446" width="23" style="72" customWidth="1"/>
    <col min="8447" max="8447" width="11.7109375" style="72" customWidth="1"/>
    <col min="8448" max="8448" width="10.85546875" style="72" customWidth="1"/>
    <col min="8449" max="8449" width="7.5703125" style="72" customWidth="1"/>
    <col min="8450" max="8450" width="30.28515625" style="72" customWidth="1"/>
    <col min="8451" max="8451" width="9.28515625" style="72" customWidth="1"/>
    <col min="8452" max="8452" width="27.42578125" style="72" customWidth="1"/>
    <col min="8453" max="8453" width="18.42578125" style="72" customWidth="1"/>
    <col min="8454" max="8454" width="9.85546875" style="72" customWidth="1"/>
    <col min="8455" max="8455" width="0" style="72" hidden="1" customWidth="1"/>
    <col min="8456" max="8456" width="4.7109375" style="72" customWidth="1"/>
    <col min="8457" max="8457" width="14.140625" style="72" customWidth="1"/>
    <col min="8458" max="8458" width="0" style="72" hidden="1" customWidth="1"/>
    <col min="8459" max="8459" width="9.140625" style="72"/>
    <col min="8460" max="8460" width="27.85546875" style="72" customWidth="1"/>
    <col min="8461" max="8461" width="11.42578125" style="72" customWidth="1"/>
    <col min="8462" max="8463" width="0" style="72" hidden="1" customWidth="1"/>
    <col min="8464" max="8465" width="12.42578125" style="72" customWidth="1"/>
    <col min="8466" max="8466" width="11.42578125" style="72" bestFit="1" customWidth="1"/>
    <col min="8467" max="8701" width="9.140625" style="72"/>
    <col min="8702" max="8702" width="23" style="72" customWidth="1"/>
    <col min="8703" max="8703" width="11.7109375" style="72" customWidth="1"/>
    <col min="8704" max="8704" width="10.85546875" style="72" customWidth="1"/>
    <col min="8705" max="8705" width="7.5703125" style="72" customWidth="1"/>
    <col min="8706" max="8706" width="30.28515625" style="72" customWidth="1"/>
    <col min="8707" max="8707" width="9.28515625" style="72" customWidth="1"/>
    <col min="8708" max="8708" width="27.42578125" style="72" customWidth="1"/>
    <col min="8709" max="8709" width="18.42578125" style="72" customWidth="1"/>
    <col min="8710" max="8710" width="9.85546875" style="72" customWidth="1"/>
    <col min="8711" max="8711" width="0" style="72" hidden="1" customWidth="1"/>
    <col min="8712" max="8712" width="4.7109375" style="72" customWidth="1"/>
    <col min="8713" max="8713" width="14.140625" style="72" customWidth="1"/>
    <col min="8714" max="8714" width="0" style="72" hidden="1" customWidth="1"/>
    <col min="8715" max="8715" width="9.140625" style="72"/>
    <col min="8716" max="8716" width="27.85546875" style="72" customWidth="1"/>
    <col min="8717" max="8717" width="11.42578125" style="72" customWidth="1"/>
    <col min="8718" max="8719" width="0" style="72" hidden="1" customWidth="1"/>
    <col min="8720" max="8721" width="12.42578125" style="72" customWidth="1"/>
    <col min="8722" max="8722" width="11.42578125" style="72" bestFit="1" customWidth="1"/>
    <col min="8723" max="8957" width="9.140625" style="72"/>
    <col min="8958" max="8958" width="23" style="72" customWidth="1"/>
    <col min="8959" max="8959" width="11.7109375" style="72" customWidth="1"/>
    <col min="8960" max="8960" width="10.85546875" style="72" customWidth="1"/>
    <col min="8961" max="8961" width="7.5703125" style="72" customWidth="1"/>
    <col min="8962" max="8962" width="30.28515625" style="72" customWidth="1"/>
    <col min="8963" max="8963" width="9.28515625" style="72" customWidth="1"/>
    <col min="8964" max="8964" width="27.42578125" style="72" customWidth="1"/>
    <col min="8965" max="8965" width="18.42578125" style="72" customWidth="1"/>
    <col min="8966" max="8966" width="9.85546875" style="72" customWidth="1"/>
    <col min="8967" max="8967" width="0" style="72" hidden="1" customWidth="1"/>
    <col min="8968" max="8968" width="4.7109375" style="72" customWidth="1"/>
    <col min="8969" max="8969" width="14.140625" style="72" customWidth="1"/>
    <col min="8970" max="8970" width="0" style="72" hidden="1" customWidth="1"/>
    <col min="8971" max="8971" width="9.140625" style="72"/>
    <col min="8972" max="8972" width="27.85546875" style="72" customWidth="1"/>
    <col min="8973" max="8973" width="11.42578125" style="72" customWidth="1"/>
    <col min="8974" max="8975" width="0" style="72" hidden="1" customWidth="1"/>
    <col min="8976" max="8977" width="12.42578125" style="72" customWidth="1"/>
    <col min="8978" max="8978" width="11.42578125" style="72" bestFit="1" customWidth="1"/>
    <col min="8979" max="9213" width="9.140625" style="72"/>
    <col min="9214" max="9214" width="23" style="72" customWidth="1"/>
    <col min="9215" max="9215" width="11.7109375" style="72" customWidth="1"/>
    <col min="9216" max="9216" width="10.85546875" style="72" customWidth="1"/>
    <col min="9217" max="9217" width="7.5703125" style="72" customWidth="1"/>
    <col min="9218" max="9218" width="30.28515625" style="72" customWidth="1"/>
    <col min="9219" max="9219" width="9.28515625" style="72" customWidth="1"/>
    <col min="9220" max="9220" width="27.42578125" style="72" customWidth="1"/>
    <col min="9221" max="9221" width="18.42578125" style="72" customWidth="1"/>
    <col min="9222" max="9222" width="9.85546875" style="72" customWidth="1"/>
    <col min="9223" max="9223" width="0" style="72" hidden="1" customWidth="1"/>
    <col min="9224" max="9224" width="4.7109375" style="72" customWidth="1"/>
    <col min="9225" max="9225" width="14.140625" style="72" customWidth="1"/>
    <col min="9226" max="9226" width="0" style="72" hidden="1" customWidth="1"/>
    <col min="9227" max="9227" width="9.140625" style="72"/>
    <col min="9228" max="9228" width="27.85546875" style="72" customWidth="1"/>
    <col min="9229" max="9229" width="11.42578125" style="72" customWidth="1"/>
    <col min="9230" max="9231" width="0" style="72" hidden="1" customWidth="1"/>
    <col min="9232" max="9233" width="12.42578125" style="72" customWidth="1"/>
    <col min="9234" max="9234" width="11.42578125" style="72" bestFit="1" customWidth="1"/>
    <col min="9235" max="9469" width="9.140625" style="72"/>
    <col min="9470" max="9470" width="23" style="72" customWidth="1"/>
    <col min="9471" max="9471" width="11.7109375" style="72" customWidth="1"/>
    <col min="9472" max="9472" width="10.85546875" style="72" customWidth="1"/>
    <col min="9473" max="9473" width="7.5703125" style="72" customWidth="1"/>
    <col min="9474" max="9474" width="30.28515625" style="72" customWidth="1"/>
    <col min="9475" max="9475" width="9.28515625" style="72" customWidth="1"/>
    <col min="9476" max="9476" width="27.42578125" style="72" customWidth="1"/>
    <col min="9477" max="9477" width="18.42578125" style="72" customWidth="1"/>
    <col min="9478" max="9478" width="9.85546875" style="72" customWidth="1"/>
    <col min="9479" max="9479" width="0" style="72" hidden="1" customWidth="1"/>
    <col min="9480" max="9480" width="4.7109375" style="72" customWidth="1"/>
    <col min="9481" max="9481" width="14.140625" style="72" customWidth="1"/>
    <col min="9482" max="9482" width="0" style="72" hidden="1" customWidth="1"/>
    <col min="9483" max="9483" width="9.140625" style="72"/>
    <col min="9484" max="9484" width="27.85546875" style="72" customWidth="1"/>
    <col min="9485" max="9485" width="11.42578125" style="72" customWidth="1"/>
    <col min="9486" max="9487" width="0" style="72" hidden="1" customWidth="1"/>
    <col min="9488" max="9489" width="12.42578125" style="72" customWidth="1"/>
    <col min="9490" max="9490" width="11.42578125" style="72" bestFit="1" customWidth="1"/>
    <col min="9491" max="9725" width="9.140625" style="72"/>
    <col min="9726" max="9726" width="23" style="72" customWidth="1"/>
    <col min="9727" max="9727" width="11.7109375" style="72" customWidth="1"/>
    <col min="9728" max="9728" width="10.85546875" style="72" customWidth="1"/>
    <col min="9729" max="9729" width="7.5703125" style="72" customWidth="1"/>
    <col min="9730" max="9730" width="30.28515625" style="72" customWidth="1"/>
    <col min="9731" max="9731" width="9.28515625" style="72" customWidth="1"/>
    <col min="9732" max="9732" width="27.42578125" style="72" customWidth="1"/>
    <col min="9733" max="9733" width="18.42578125" style="72" customWidth="1"/>
    <col min="9734" max="9734" width="9.85546875" style="72" customWidth="1"/>
    <col min="9735" max="9735" width="0" style="72" hidden="1" customWidth="1"/>
    <col min="9736" max="9736" width="4.7109375" style="72" customWidth="1"/>
    <col min="9737" max="9737" width="14.140625" style="72" customWidth="1"/>
    <col min="9738" max="9738" width="0" style="72" hidden="1" customWidth="1"/>
    <col min="9739" max="9739" width="9.140625" style="72"/>
    <col min="9740" max="9740" width="27.85546875" style="72" customWidth="1"/>
    <col min="9741" max="9741" width="11.42578125" style="72" customWidth="1"/>
    <col min="9742" max="9743" width="0" style="72" hidden="1" customWidth="1"/>
    <col min="9744" max="9745" width="12.42578125" style="72" customWidth="1"/>
    <col min="9746" max="9746" width="11.42578125" style="72" bestFit="1" customWidth="1"/>
    <col min="9747" max="9981" width="9.140625" style="72"/>
    <col min="9982" max="9982" width="23" style="72" customWidth="1"/>
    <col min="9983" max="9983" width="11.7109375" style="72" customWidth="1"/>
    <col min="9984" max="9984" width="10.85546875" style="72" customWidth="1"/>
    <col min="9985" max="9985" width="7.5703125" style="72" customWidth="1"/>
    <col min="9986" max="9986" width="30.28515625" style="72" customWidth="1"/>
    <col min="9987" max="9987" width="9.28515625" style="72" customWidth="1"/>
    <col min="9988" max="9988" width="27.42578125" style="72" customWidth="1"/>
    <col min="9989" max="9989" width="18.42578125" style="72" customWidth="1"/>
    <col min="9990" max="9990" width="9.85546875" style="72" customWidth="1"/>
    <col min="9991" max="9991" width="0" style="72" hidden="1" customWidth="1"/>
    <col min="9992" max="9992" width="4.7109375" style="72" customWidth="1"/>
    <col min="9993" max="9993" width="14.140625" style="72" customWidth="1"/>
    <col min="9994" max="9994" width="0" style="72" hidden="1" customWidth="1"/>
    <col min="9995" max="9995" width="9.140625" style="72"/>
    <col min="9996" max="9996" width="27.85546875" style="72" customWidth="1"/>
    <col min="9997" max="9997" width="11.42578125" style="72" customWidth="1"/>
    <col min="9998" max="9999" width="0" style="72" hidden="1" customWidth="1"/>
    <col min="10000" max="10001" width="12.42578125" style="72" customWidth="1"/>
    <col min="10002" max="10002" width="11.42578125" style="72" bestFit="1" customWidth="1"/>
    <col min="10003" max="10237" width="9.140625" style="72"/>
    <col min="10238" max="10238" width="23" style="72" customWidth="1"/>
    <col min="10239" max="10239" width="11.7109375" style="72" customWidth="1"/>
    <col min="10240" max="10240" width="10.85546875" style="72" customWidth="1"/>
    <col min="10241" max="10241" width="7.5703125" style="72" customWidth="1"/>
    <col min="10242" max="10242" width="30.28515625" style="72" customWidth="1"/>
    <col min="10243" max="10243" width="9.28515625" style="72" customWidth="1"/>
    <col min="10244" max="10244" width="27.42578125" style="72" customWidth="1"/>
    <col min="10245" max="10245" width="18.42578125" style="72" customWidth="1"/>
    <col min="10246" max="10246" width="9.85546875" style="72" customWidth="1"/>
    <col min="10247" max="10247" width="0" style="72" hidden="1" customWidth="1"/>
    <col min="10248" max="10248" width="4.7109375" style="72" customWidth="1"/>
    <col min="10249" max="10249" width="14.140625" style="72" customWidth="1"/>
    <col min="10250" max="10250" width="0" style="72" hidden="1" customWidth="1"/>
    <col min="10251" max="10251" width="9.140625" style="72"/>
    <col min="10252" max="10252" width="27.85546875" style="72" customWidth="1"/>
    <col min="10253" max="10253" width="11.42578125" style="72" customWidth="1"/>
    <col min="10254" max="10255" width="0" style="72" hidden="1" customWidth="1"/>
    <col min="10256" max="10257" width="12.42578125" style="72" customWidth="1"/>
    <col min="10258" max="10258" width="11.42578125" style="72" bestFit="1" customWidth="1"/>
    <col min="10259" max="10493" width="9.140625" style="72"/>
    <col min="10494" max="10494" width="23" style="72" customWidth="1"/>
    <col min="10495" max="10495" width="11.7109375" style="72" customWidth="1"/>
    <col min="10496" max="10496" width="10.85546875" style="72" customWidth="1"/>
    <col min="10497" max="10497" width="7.5703125" style="72" customWidth="1"/>
    <col min="10498" max="10498" width="30.28515625" style="72" customWidth="1"/>
    <col min="10499" max="10499" width="9.28515625" style="72" customWidth="1"/>
    <col min="10500" max="10500" width="27.42578125" style="72" customWidth="1"/>
    <col min="10501" max="10501" width="18.42578125" style="72" customWidth="1"/>
    <col min="10502" max="10502" width="9.85546875" style="72" customWidth="1"/>
    <col min="10503" max="10503" width="0" style="72" hidden="1" customWidth="1"/>
    <col min="10504" max="10504" width="4.7109375" style="72" customWidth="1"/>
    <col min="10505" max="10505" width="14.140625" style="72" customWidth="1"/>
    <col min="10506" max="10506" width="0" style="72" hidden="1" customWidth="1"/>
    <col min="10507" max="10507" width="9.140625" style="72"/>
    <col min="10508" max="10508" width="27.85546875" style="72" customWidth="1"/>
    <col min="10509" max="10509" width="11.42578125" style="72" customWidth="1"/>
    <col min="10510" max="10511" width="0" style="72" hidden="1" customWidth="1"/>
    <col min="10512" max="10513" width="12.42578125" style="72" customWidth="1"/>
    <col min="10514" max="10514" width="11.42578125" style="72" bestFit="1" customWidth="1"/>
    <col min="10515" max="10749" width="9.140625" style="72"/>
    <col min="10750" max="10750" width="23" style="72" customWidth="1"/>
    <col min="10751" max="10751" width="11.7109375" style="72" customWidth="1"/>
    <col min="10752" max="10752" width="10.85546875" style="72" customWidth="1"/>
    <col min="10753" max="10753" width="7.5703125" style="72" customWidth="1"/>
    <col min="10754" max="10754" width="30.28515625" style="72" customWidth="1"/>
    <col min="10755" max="10755" width="9.28515625" style="72" customWidth="1"/>
    <col min="10756" max="10756" width="27.42578125" style="72" customWidth="1"/>
    <col min="10757" max="10757" width="18.42578125" style="72" customWidth="1"/>
    <col min="10758" max="10758" width="9.85546875" style="72" customWidth="1"/>
    <col min="10759" max="10759" width="0" style="72" hidden="1" customWidth="1"/>
    <col min="10760" max="10760" width="4.7109375" style="72" customWidth="1"/>
    <col min="10761" max="10761" width="14.140625" style="72" customWidth="1"/>
    <col min="10762" max="10762" width="0" style="72" hidden="1" customWidth="1"/>
    <col min="10763" max="10763" width="9.140625" style="72"/>
    <col min="10764" max="10764" width="27.85546875" style="72" customWidth="1"/>
    <col min="10765" max="10765" width="11.42578125" style="72" customWidth="1"/>
    <col min="10766" max="10767" width="0" style="72" hidden="1" customWidth="1"/>
    <col min="10768" max="10769" width="12.42578125" style="72" customWidth="1"/>
    <col min="10770" max="10770" width="11.42578125" style="72" bestFit="1" customWidth="1"/>
    <col min="10771" max="11005" width="9.140625" style="72"/>
    <col min="11006" max="11006" width="23" style="72" customWidth="1"/>
    <col min="11007" max="11007" width="11.7109375" style="72" customWidth="1"/>
    <col min="11008" max="11008" width="10.85546875" style="72" customWidth="1"/>
    <col min="11009" max="11009" width="7.5703125" style="72" customWidth="1"/>
    <col min="11010" max="11010" width="30.28515625" style="72" customWidth="1"/>
    <col min="11011" max="11011" width="9.28515625" style="72" customWidth="1"/>
    <col min="11012" max="11012" width="27.42578125" style="72" customWidth="1"/>
    <col min="11013" max="11013" width="18.42578125" style="72" customWidth="1"/>
    <col min="11014" max="11014" width="9.85546875" style="72" customWidth="1"/>
    <col min="11015" max="11015" width="0" style="72" hidden="1" customWidth="1"/>
    <col min="11016" max="11016" width="4.7109375" style="72" customWidth="1"/>
    <col min="11017" max="11017" width="14.140625" style="72" customWidth="1"/>
    <col min="11018" max="11018" width="0" style="72" hidden="1" customWidth="1"/>
    <col min="11019" max="11019" width="9.140625" style="72"/>
    <col min="11020" max="11020" width="27.85546875" style="72" customWidth="1"/>
    <col min="11021" max="11021" width="11.42578125" style="72" customWidth="1"/>
    <col min="11022" max="11023" width="0" style="72" hidden="1" customWidth="1"/>
    <col min="11024" max="11025" width="12.42578125" style="72" customWidth="1"/>
    <col min="11026" max="11026" width="11.42578125" style="72" bestFit="1" customWidth="1"/>
    <col min="11027" max="11261" width="9.140625" style="72"/>
    <col min="11262" max="11262" width="23" style="72" customWidth="1"/>
    <col min="11263" max="11263" width="11.7109375" style="72" customWidth="1"/>
    <col min="11264" max="11264" width="10.85546875" style="72" customWidth="1"/>
    <col min="11265" max="11265" width="7.5703125" style="72" customWidth="1"/>
    <col min="11266" max="11266" width="30.28515625" style="72" customWidth="1"/>
    <col min="11267" max="11267" width="9.28515625" style="72" customWidth="1"/>
    <col min="11268" max="11268" width="27.42578125" style="72" customWidth="1"/>
    <col min="11269" max="11269" width="18.42578125" style="72" customWidth="1"/>
    <col min="11270" max="11270" width="9.85546875" style="72" customWidth="1"/>
    <col min="11271" max="11271" width="0" style="72" hidden="1" customWidth="1"/>
    <col min="11272" max="11272" width="4.7109375" style="72" customWidth="1"/>
    <col min="11273" max="11273" width="14.140625" style="72" customWidth="1"/>
    <col min="11274" max="11274" width="0" style="72" hidden="1" customWidth="1"/>
    <col min="11275" max="11275" width="9.140625" style="72"/>
    <col min="11276" max="11276" width="27.85546875" style="72" customWidth="1"/>
    <col min="11277" max="11277" width="11.42578125" style="72" customWidth="1"/>
    <col min="11278" max="11279" width="0" style="72" hidden="1" customWidth="1"/>
    <col min="11280" max="11281" width="12.42578125" style="72" customWidth="1"/>
    <col min="11282" max="11282" width="11.42578125" style="72" bestFit="1" customWidth="1"/>
    <col min="11283" max="11517" width="9.140625" style="72"/>
    <col min="11518" max="11518" width="23" style="72" customWidth="1"/>
    <col min="11519" max="11519" width="11.7109375" style="72" customWidth="1"/>
    <col min="11520" max="11520" width="10.85546875" style="72" customWidth="1"/>
    <col min="11521" max="11521" width="7.5703125" style="72" customWidth="1"/>
    <col min="11522" max="11522" width="30.28515625" style="72" customWidth="1"/>
    <col min="11523" max="11523" width="9.28515625" style="72" customWidth="1"/>
    <col min="11524" max="11524" width="27.42578125" style="72" customWidth="1"/>
    <col min="11525" max="11525" width="18.42578125" style="72" customWidth="1"/>
    <col min="11526" max="11526" width="9.85546875" style="72" customWidth="1"/>
    <col min="11527" max="11527" width="0" style="72" hidden="1" customWidth="1"/>
    <col min="11528" max="11528" width="4.7109375" style="72" customWidth="1"/>
    <col min="11529" max="11529" width="14.140625" style="72" customWidth="1"/>
    <col min="11530" max="11530" width="0" style="72" hidden="1" customWidth="1"/>
    <col min="11531" max="11531" width="9.140625" style="72"/>
    <col min="11532" max="11532" width="27.85546875" style="72" customWidth="1"/>
    <col min="11533" max="11533" width="11.42578125" style="72" customWidth="1"/>
    <col min="11534" max="11535" width="0" style="72" hidden="1" customWidth="1"/>
    <col min="11536" max="11537" width="12.42578125" style="72" customWidth="1"/>
    <col min="11538" max="11538" width="11.42578125" style="72" bestFit="1" customWidth="1"/>
    <col min="11539" max="11773" width="9.140625" style="72"/>
    <col min="11774" max="11774" width="23" style="72" customWidth="1"/>
    <col min="11775" max="11775" width="11.7109375" style="72" customWidth="1"/>
    <col min="11776" max="11776" width="10.85546875" style="72" customWidth="1"/>
    <col min="11777" max="11777" width="7.5703125" style="72" customWidth="1"/>
    <col min="11778" max="11778" width="30.28515625" style="72" customWidth="1"/>
    <col min="11779" max="11779" width="9.28515625" style="72" customWidth="1"/>
    <col min="11780" max="11780" width="27.42578125" style="72" customWidth="1"/>
    <col min="11781" max="11781" width="18.42578125" style="72" customWidth="1"/>
    <col min="11782" max="11782" width="9.85546875" style="72" customWidth="1"/>
    <col min="11783" max="11783" width="0" style="72" hidden="1" customWidth="1"/>
    <col min="11784" max="11784" width="4.7109375" style="72" customWidth="1"/>
    <col min="11785" max="11785" width="14.140625" style="72" customWidth="1"/>
    <col min="11786" max="11786" width="0" style="72" hidden="1" customWidth="1"/>
    <col min="11787" max="11787" width="9.140625" style="72"/>
    <col min="11788" max="11788" width="27.85546875" style="72" customWidth="1"/>
    <col min="11789" max="11789" width="11.42578125" style="72" customWidth="1"/>
    <col min="11790" max="11791" width="0" style="72" hidden="1" customWidth="1"/>
    <col min="11792" max="11793" width="12.42578125" style="72" customWidth="1"/>
    <col min="11794" max="11794" width="11.42578125" style="72" bestFit="1" customWidth="1"/>
    <col min="11795" max="12029" width="9.140625" style="72"/>
    <col min="12030" max="12030" width="23" style="72" customWidth="1"/>
    <col min="12031" max="12031" width="11.7109375" style="72" customWidth="1"/>
    <col min="12032" max="12032" width="10.85546875" style="72" customWidth="1"/>
    <col min="12033" max="12033" width="7.5703125" style="72" customWidth="1"/>
    <col min="12034" max="12034" width="30.28515625" style="72" customWidth="1"/>
    <col min="12035" max="12035" width="9.28515625" style="72" customWidth="1"/>
    <col min="12036" max="12036" width="27.42578125" style="72" customWidth="1"/>
    <col min="12037" max="12037" width="18.42578125" style="72" customWidth="1"/>
    <col min="12038" max="12038" width="9.85546875" style="72" customWidth="1"/>
    <col min="12039" max="12039" width="0" style="72" hidden="1" customWidth="1"/>
    <col min="12040" max="12040" width="4.7109375" style="72" customWidth="1"/>
    <col min="12041" max="12041" width="14.140625" style="72" customWidth="1"/>
    <col min="12042" max="12042" width="0" style="72" hidden="1" customWidth="1"/>
    <col min="12043" max="12043" width="9.140625" style="72"/>
    <col min="12044" max="12044" width="27.85546875" style="72" customWidth="1"/>
    <col min="12045" max="12045" width="11.42578125" style="72" customWidth="1"/>
    <col min="12046" max="12047" width="0" style="72" hidden="1" customWidth="1"/>
    <col min="12048" max="12049" width="12.42578125" style="72" customWidth="1"/>
    <col min="12050" max="12050" width="11.42578125" style="72" bestFit="1" customWidth="1"/>
    <col min="12051" max="12285" width="9.140625" style="72"/>
    <col min="12286" max="12286" width="23" style="72" customWidth="1"/>
    <col min="12287" max="12287" width="11.7109375" style="72" customWidth="1"/>
    <col min="12288" max="12288" width="10.85546875" style="72" customWidth="1"/>
    <col min="12289" max="12289" width="7.5703125" style="72" customWidth="1"/>
    <col min="12290" max="12290" width="30.28515625" style="72" customWidth="1"/>
    <col min="12291" max="12291" width="9.28515625" style="72" customWidth="1"/>
    <col min="12292" max="12292" width="27.42578125" style="72" customWidth="1"/>
    <col min="12293" max="12293" width="18.42578125" style="72" customWidth="1"/>
    <col min="12294" max="12294" width="9.85546875" style="72" customWidth="1"/>
    <col min="12295" max="12295" width="0" style="72" hidden="1" customWidth="1"/>
    <col min="12296" max="12296" width="4.7109375" style="72" customWidth="1"/>
    <col min="12297" max="12297" width="14.140625" style="72" customWidth="1"/>
    <col min="12298" max="12298" width="0" style="72" hidden="1" customWidth="1"/>
    <col min="12299" max="12299" width="9.140625" style="72"/>
    <col min="12300" max="12300" width="27.85546875" style="72" customWidth="1"/>
    <col min="12301" max="12301" width="11.42578125" style="72" customWidth="1"/>
    <col min="12302" max="12303" width="0" style="72" hidden="1" customWidth="1"/>
    <col min="12304" max="12305" width="12.42578125" style="72" customWidth="1"/>
    <col min="12306" max="12306" width="11.42578125" style="72" bestFit="1" customWidth="1"/>
    <col min="12307" max="12541" width="9.140625" style="72"/>
    <col min="12542" max="12542" width="23" style="72" customWidth="1"/>
    <col min="12543" max="12543" width="11.7109375" style="72" customWidth="1"/>
    <col min="12544" max="12544" width="10.85546875" style="72" customWidth="1"/>
    <col min="12545" max="12545" width="7.5703125" style="72" customWidth="1"/>
    <col min="12546" max="12546" width="30.28515625" style="72" customWidth="1"/>
    <col min="12547" max="12547" width="9.28515625" style="72" customWidth="1"/>
    <col min="12548" max="12548" width="27.42578125" style="72" customWidth="1"/>
    <col min="12549" max="12549" width="18.42578125" style="72" customWidth="1"/>
    <col min="12550" max="12550" width="9.85546875" style="72" customWidth="1"/>
    <col min="12551" max="12551" width="0" style="72" hidden="1" customWidth="1"/>
    <col min="12552" max="12552" width="4.7109375" style="72" customWidth="1"/>
    <col min="12553" max="12553" width="14.140625" style="72" customWidth="1"/>
    <col min="12554" max="12554" width="0" style="72" hidden="1" customWidth="1"/>
    <col min="12555" max="12555" width="9.140625" style="72"/>
    <col min="12556" max="12556" width="27.85546875" style="72" customWidth="1"/>
    <col min="12557" max="12557" width="11.42578125" style="72" customWidth="1"/>
    <col min="12558" max="12559" width="0" style="72" hidden="1" customWidth="1"/>
    <col min="12560" max="12561" width="12.42578125" style="72" customWidth="1"/>
    <col min="12562" max="12562" width="11.42578125" style="72" bestFit="1" customWidth="1"/>
    <col min="12563" max="12797" width="9.140625" style="72"/>
    <col min="12798" max="12798" width="23" style="72" customWidth="1"/>
    <col min="12799" max="12799" width="11.7109375" style="72" customWidth="1"/>
    <col min="12800" max="12800" width="10.85546875" style="72" customWidth="1"/>
    <col min="12801" max="12801" width="7.5703125" style="72" customWidth="1"/>
    <col min="12802" max="12802" width="30.28515625" style="72" customWidth="1"/>
    <col min="12803" max="12803" width="9.28515625" style="72" customWidth="1"/>
    <col min="12804" max="12804" width="27.42578125" style="72" customWidth="1"/>
    <col min="12805" max="12805" width="18.42578125" style="72" customWidth="1"/>
    <col min="12806" max="12806" width="9.85546875" style="72" customWidth="1"/>
    <col min="12807" max="12807" width="0" style="72" hidden="1" customWidth="1"/>
    <col min="12808" max="12808" width="4.7109375" style="72" customWidth="1"/>
    <col min="12809" max="12809" width="14.140625" style="72" customWidth="1"/>
    <col min="12810" max="12810" width="0" style="72" hidden="1" customWidth="1"/>
    <col min="12811" max="12811" width="9.140625" style="72"/>
    <col min="12812" max="12812" width="27.85546875" style="72" customWidth="1"/>
    <col min="12813" max="12813" width="11.42578125" style="72" customWidth="1"/>
    <col min="12814" max="12815" width="0" style="72" hidden="1" customWidth="1"/>
    <col min="12816" max="12817" width="12.42578125" style="72" customWidth="1"/>
    <col min="12818" max="12818" width="11.42578125" style="72" bestFit="1" customWidth="1"/>
    <col min="12819" max="13053" width="9.140625" style="72"/>
    <col min="13054" max="13054" width="23" style="72" customWidth="1"/>
    <col min="13055" max="13055" width="11.7109375" style="72" customWidth="1"/>
    <col min="13056" max="13056" width="10.85546875" style="72" customWidth="1"/>
    <col min="13057" max="13057" width="7.5703125" style="72" customWidth="1"/>
    <col min="13058" max="13058" width="30.28515625" style="72" customWidth="1"/>
    <col min="13059" max="13059" width="9.28515625" style="72" customWidth="1"/>
    <col min="13060" max="13060" width="27.42578125" style="72" customWidth="1"/>
    <col min="13061" max="13061" width="18.42578125" style="72" customWidth="1"/>
    <col min="13062" max="13062" width="9.85546875" style="72" customWidth="1"/>
    <col min="13063" max="13063" width="0" style="72" hidden="1" customWidth="1"/>
    <col min="13064" max="13064" width="4.7109375" style="72" customWidth="1"/>
    <col min="13065" max="13065" width="14.140625" style="72" customWidth="1"/>
    <col min="13066" max="13066" width="0" style="72" hidden="1" customWidth="1"/>
    <col min="13067" max="13067" width="9.140625" style="72"/>
    <col min="13068" max="13068" width="27.85546875" style="72" customWidth="1"/>
    <col min="13069" max="13069" width="11.42578125" style="72" customWidth="1"/>
    <col min="13070" max="13071" width="0" style="72" hidden="1" customWidth="1"/>
    <col min="13072" max="13073" width="12.42578125" style="72" customWidth="1"/>
    <col min="13074" max="13074" width="11.42578125" style="72" bestFit="1" customWidth="1"/>
    <col min="13075" max="13309" width="9.140625" style="72"/>
    <col min="13310" max="13310" width="23" style="72" customWidth="1"/>
    <col min="13311" max="13311" width="11.7109375" style="72" customWidth="1"/>
    <col min="13312" max="13312" width="10.85546875" style="72" customWidth="1"/>
    <col min="13313" max="13313" width="7.5703125" style="72" customWidth="1"/>
    <col min="13314" max="13314" width="30.28515625" style="72" customWidth="1"/>
    <col min="13315" max="13315" width="9.28515625" style="72" customWidth="1"/>
    <col min="13316" max="13316" width="27.42578125" style="72" customWidth="1"/>
    <col min="13317" max="13317" width="18.42578125" style="72" customWidth="1"/>
    <col min="13318" max="13318" width="9.85546875" style="72" customWidth="1"/>
    <col min="13319" max="13319" width="0" style="72" hidden="1" customWidth="1"/>
    <col min="13320" max="13320" width="4.7109375" style="72" customWidth="1"/>
    <col min="13321" max="13321" width="14.140625" style="72" customWidth="1"/>
    <col min="13322" max="13322" width="0" style="72" hidden="1" customWidth="1"/>
    <col min="13323" max="13323" width="9.140625" style="72"/>
    <col min="13324" max="13324" width="27.85546875" style="72" customWidth="1"/>
    <col min="13325" max="13325" width="11.42578125" style="72" customWidth="1"/>
    <col min="13326" max="13327" width="0" style="72" hidden="1" customWidth="1"/>
    <col min="13328" max="13329" width="12.42578125" style="72" customWidth="1"/>
    <col min="13330" max="13330" width="11.42578125" style="72" bestFit="1" customWidth="1"/>
    <col min="13331" max="13565" width="9.140625" style="72"/>
    <col min="13566" max="13566" width="23" style="72" customWidth="1"/>
    <col min="13567" max="13567" width="11.7109375" style="72" customWidth="1"/>
    <col min="13568" max="13568" width="10.85546875" style="72" customWidth="1"/>
    <col min="13569" max="13569" width="7.5703125" style="72" customWidth="1"/>
    <col min="13570" max="13570" width="30.28515625" style="72" customWidth="1"/>
    <col min="13571" max="13571" width="9.28515625" style="72" customWidth="1"/>
    <col min="13572" max="13572" width="27.42578125" style="72" customWidth="1"/>
    <col min="13573" max="13573" width="18.42578125" style="72" customWidth="1"/>
    <col min="13574" max="13574" width="9.85546875" style="72" customWidth="1"/>
    <col min="13575" max="13575" width="0" style="72" hidden="1" customWidth="1"/>
    <col min="13576" max="13576" width="4.7109375" style="72" customWidth="1"/>
    <col min="13577" max="13577" width="14.140625" style="72" customWidth="1"/>
    <col min="13578" max="13578" width="0" style="72" hidden="1" customWidth="1"/>
    <col min="13579" max="13579" width="9.140625" style="72"/>
    <col min="13580" max="13580" width="27.85546875" style="72" customWidth="1"/>
    <col min="13581" max="13581" width="11.42578125" style="72" customWidth="1"/>
    <col min="13582" max="13583" width="0" style="72" hidden="1" customWidth="1"/>
    <col min="13584" max="13585" width="12.42578125" style="72" customWidth="1"/>
    <col min="13586" max="13586" width="11.42578125" style="72" bestFit="1" customWidth="1"/>
    <col min="13587" max="13821" width="9.140625" style="72"/>
    <col min="13822" max="13822" width="23" style="72" customWidth="1"/>
    <col min="13823" max="13823" width="11.7109375" style="72" customWidth="1"/>
    <col min="13824" max="13824" width="10.85546875" style="72" customWidth="1"/>
    <col min="13825" max="13825" width="7.5703125" style="72" customWidth="1"/>
    <col min="13826" max="13826" width="30.28515625" style="72" customWidth="1"/>
    <col min="13827" max="13827" width="9.28515625" style="72" customWidth="1"/>
    <col min="13828" max="13828" width="27.42578125" style="72" customWidth="1"/>
    <col min="13829" max="13829" width="18.42578125" style="72" customWidth="1"/>
    <col min="13830" max="13830" width="9.85546875" style="72" customWidth="1"/>
    <col min="13831" max="13831" width="0" style="72" hidden="1" customWidth="1"/>
    <col min="13832" max="13832" width="4.7109375" style="72" customWidth="1"/>
    <col min="13833" max="13833" width="14.140625" style="72" customWidth="1"/>
    <col min="13834" max="13834" width="0" style="72" hidden="1" customWidth="1"/>
    <col min="13835" max="13835" width="9.140625" style="72"/>
    <col min="13836" max="13836" width="27.85546875" style="72" customWidth="1"/>
    <col min="13837" max="13837" width="11.42578125" style="72" customWidth="1"/>
    <col min="13838" max="13839" width="0" style="72" hidden="1" customWidth="1"/>
    <col min="13840" max="13841" width="12.42578125" style="72" customWidth="1"/>
    <col min="13842" max="13842" width="11.42578125" style="72" bestFit="1" customWidth="1"/>
    <col min="13843" max="14077" width="9.140625" style="72"/>
    <col min="14078" max="14078" width="23" style="72" customWidth="1"/>
    <col min="14079" max="14079" width="11.7109375" style="72" customWidth="1"/>
    <col min="14080" max="14080" width="10.85546875" style="72" customWidth="1"/>
    <col min="14081" max="14081" width="7.5703125" style="72" customWidth="1"/>
    <col min="14082" max="14082" width="30.28515625" style="72" customWidth="1"/>
    <col min="14083" max="14083" width="9.28515625" style="72" customWidth="1"/>
    <col min="14084" max="14084" width="27.42578125" style="72" customWidth="1"/>
    <col min="14085" max="14085" width="18.42578125" style="72" customWidth="1"/>
    <col min="14086" max="14086" width="9.85546875" style="72" customWidth="1"/>
    <col min="14087" max="14087" width="0" style="72" hidden="1" customWidth="1"/>
    <col min="14088" max="14088" width="4.7109375" style="72" customWidth="1"/>
    <col min="14089" max="14089" width="14.140625" style="72" customWidth="1"/>
    <col min="14090" max="14090" width="0" style="72" hidden="1" customWidth="1"/>
    <col min="14091" max="14091" width="9.140625" style="72"/>
    <col min="14092" max="14092" width="27.85546875" style="72" customWidth="1"/>
    <col min="14093" max="14093" width="11.42578125" style="72" customWidth="1"/>
    <col min="14094" max="14095" width="0" style="72" hidden="1" customWidth="1"/>
    <col min="14096" max="14097" width="12.42578125" style="72" customWidth="1"/>
    <col min="14098" max="14098" width="11.42578125" style="72" bestFit="1" customWidth="1"/>
    <col min="14099" max="14333" width="9.140625" style="72"/>
    <col min="14334" max="14334" width="23" style="72" customWidth="1"/>
    <col min="14335" max="14335" width="11.7109375" style="72" customWidth="1"/>
    <col min="14336" max="14336" width="10.85546875" style="72" customWidth="1"/>
    <col min="14337" max="14337" width="7.5703125" style="72" customWidth="1"/>
    <col min="14338" max="14338" width="30.28515625" style="72" customWidth="1"/>
    <col min="14339" max="14339" width="9.28515625" style="72" customWidth="1"/>
    <col min="14340" max="14340" width="27.42578125" style="72" customWidth="1"/>
    <col min="14341" max="14341" width="18.42578125" style="72" customWidth="1"/>
    <col min="14342" max="14342" width="9.85546875" style="72" customWidth="1"/>
    <col min="14343" max="14343" width="0" style="72" hidden="1" customWidth="1"/>
    <col min="14344" max="14344" width="4.7109375" style="72" customWidth="1"/>
    <col min="14345" max="14345" width="14.140625" style="72" customWidth="1"/>
    <col min="14346" max="14346" width="0" style="72" hidden="1" customWidth="1"/>
    <col min="14347" max="14347" width="9.140625" style="72"/>
    <col min="14348" max="14348" width="27.85546875" style="72" customWidth="1"/>
    <col min="14349" max="14349" width="11.42578125" style="72" customWidth="1"/>
    <col min="14350" max="14351" width="0" style="72" hidden="1" customWidth="1"/>
    <col min="14352" max="14353" width="12.42578125" style="72" customWidth="1"/>
    <col min="14354" max="14354" width="11.42578125" style="72" bestFit="1" customWidth="1"/>
    <col min="14355" max="14589" width="9.140625" style="72"/>
    <col min="14590" max="14590" width="23" style="72" customWidth="1"/>
    <col min="14591" max="14591" width="11.7109375" style="72" customWidth="1"/>
    <col min="14592" max="14592" width="10.85546875" style="72" customWidth="1"/>
    <col min="14593" max="14593" width="7.5703125" style="72" customWidth="1"/>
    <col min="14594" max="14594" width="30.28515625" style="72" customWidth="1"/>
    <col min="14595" max="14595" width="9.28515625" style="72" customWidth="1"/>
    <col min="14596" max="14596" width="27.42578125" style="72" customWidth="1"/>
    <col min="14597" max="14597" width="18.42578125" style="72" customWidth="1"/>
    <col min="14598" max="14598" width="9.85546875" style="72" customWidth="1"/>
    <col min="14599" max="14599" width="0" style="72" hidden="1" customWidth="1"/>
    <col min="14600" max="14600" width="4.7109375" style="72" customWidth="1"/>
    <col min="14601" max="14601" width="14.140625" style="72" customWidth="1"/>
    <col min="14602" max="14602" width="0" style="72" hidden="1" customWidth="1"/>
    <col min="14603" max="14603" width="9.140625" style="72"/>
    <col min="14604" max="14604" width="27.85546875" style="72" customWidth="1"/>
    <col min="14605" max="14605" width="11.42578125" style="72" customWidth="1"/>
    <col min="14606" max="14607" width="0" style="72" hidden="1" customWidth="1"/>
    <col min="14608" max="14609" width="12.42578125" style="72" customWidth="1"/>
    <col min="14610" max="14610" width="11.42578125" style="72" bestFit="1" customWidth="1"/>
    <col min="14611" max="14845" width="9.140625" style="72"/>
    <col min="14846" max="14846" width="23" style="72" customWidth="1"/>
    <col min="14847" max="14847" width="11.7109375" style="72" customWidth="1"/>
    <col min="14848" max="14848" width="10.85546875" style="72" customWidth="1"/>
    <col min="14849" max="14849" width="7.5703125" style="72" customWidth="1"/>
    <col min="14850" max="14850" width="30.28515625" style="72" customWidth="1"/>
    <col min="14851" max="14851" width="9.28515625" style="72" customWidth="1"/>
    <col min="14852" max="14852" width="27.42578125" style="72" customWidth="1"/>
    <col min="14853" max="14853" width="18.42578125" style="72" customWidth="1"/>
    <col min="14854" max="14854" width="9.85546875" style="72" customWidth="1"/>
    <col min="14855" max="14855" width="0" style="72" hidden="1" customWidth="1"/>
    <col min="14856" max="14856" width="4.7109375" style="72" customWidth="1"/>
    <col min="14857" max="14857" width="14.140625" style="72" customWidth="1"/>
    <col min="14858" max="14858" width="0" style="72" hidden="1" customWidth="1"/>
    <col min="14859" max="14859" width="9.140625" style="72"/>
    <col min="14860" max="14860" width="27.85546875" style="72" customWidth="1"/>
    <col min="14861" max="14861" width="11.42578125" style="72" customWidth="1"/>
    <col min="14862" max="14863" width="0" style="72" hidden="1" customWidth="1"/>
    <col min="14864" max="14865" width="12.42578125" style="72" customWidth="1"/>
    <col min="14866" max="14866" width="11.42578125" style="72" bestFit="1" customWidth="1"/>
    <col min="14867" max="15101" width="9.140625" style="72"/>
    <col min="15102" max="15102" width="23" style="72" customWidth="1"/>
    <col min="15103" max="15103" width="11.7109375" style="72" customWidth="1"/>
    <col min="15104" max="15104" width="10.85546875" style="72" customWidth="1"/>
    <col min="15105" max="15105" width="7.5703125" style="72" customWidth="1"/>
    <col min="15106" max="15106" width="30.28515625" style="72" customWidth="1"/>
    <col min="15107" max="15107" width="9.28515625" style="72" customWidth="1"/>
    <col min="15108" max="15108" width="27.42578125" style="72" customWidth="1"/>
    <col min="15109" max="15109" width="18.42578125" style="72" customWidth="1"/>
    <col min="15110" max="15110" width="9.85546875" style="72" customWidth="1"/>
    <col min="15111" max="15111" width="0" style="72" hidden="1" customWidth="1"/>
    <col min="15112" max="15112" width="4.7109375" style="72" customWidth="1"/>
    <col min="15113" max="15113" width="14.140625" style="72" customWidth="1"/>
    <col min="15114" max="15114" width="0" style="72" hidden="1" customWidth="1"/>
    <col min="15115" max="15115" width="9.140625" style="72"/>
    <col min="15116" max="15116" width="27.85546875" style="72" customWidth="1"/>
    <col min="15117" max="15117" width="11.42578125" style="72" customWidth="1"/>
    <col min="15118" max="15119" width="0" style="72" hidden="1" customWidth="1"/>
    <col min="15120" max="15121" width="12.42578125" style="72" customWidth="1"/>
    <col min="15122" max="15122" width="11.42578125" style="72" bestFit="1" customWidth="1"/>
    <col min="15123" max="15357" width="9.140625" style="72"/>
    <col min="15358" max="15358" width="23" style="72" customWidth="1"/>
    <col min="15359" max="15359" width="11.7109375" style="72" customWidth="1"/>
    <col min="15360" max="15360" width="10.85546875" style="72" customWidth="1"/>
    <col min="15361" max="15361" width="7.5703125" style="72" customWidth="1"/>
    <col min="15362" max="15362" width="30.28515625" style="72" customWidth="1"/>
    <col min="15363" max="15363" width="9.28515625" style="72" customWidth="1"/>
    <col min="15364" max="15364" width="27.42578125" style="72" customWidth="1"/>
    <col min="15365" max="15365" width="18.42578125" style="72" customWidth="1"/>
    <col min="15366" max="15366" width="9.85546875" style="72" customWidth="1"/>
    <col min="15367" max="15367" width="0" style="72" hidden="1" customWidth="1"/>
    <col min="15368" max="15368" width="4.7109375" style="72" customWidth="1"/>
    <col min="15369" max="15369" width="14.140625" style="72" customWidth="1"/>
    <col min="15370" max="15370" width="0" style="72" hidden="1" customWidth="1"/>
    <col min="15371" max="15371" width="9.140625" style="72"/>
    <col min="15372" max="15372" width="27.85546875" style="72" customWidth="1"/>
    <col min="15373" max="15373" width="11.42578125" style="72" customWidth="1"/>
    <col min="15374" max="15375" width="0" style="72" hidden="1" customWidth="1"/>
    <col min="15376" max="15377" width="12.42578125" style="72" customWidth="1"/>
    <col min="15378" max="15378" width="11.42578125" style="72" bestFit="1" customWidth="1"/>
    <col min="15379" max="15613" width="9.140625" style="72"/>
    <col min="15614" max="15614" width="23" style="72" customWidth="1"/>
    <col min="15615" max="15615" width="11.7109375" style="72" customWidth="1"/>
    <col min="15616" max="15616" width="10.85546875" style="72" customWidth="1"/>
    <col min="15617" max="15617" width="7.5703125" style="72" customWidth="1"/>
    <col min="15618" max="15618" width="30.28515625" style="72" customWidth="1"/>
    <col min="15619" max="15619" width="9.28515625" style="72" customWidth="1"/>
    <col min="15620" max="15620" width="27.42578125" style="72" customWidth="1"/>
    <col min="15621" max="15621" width="18.42578125" style="72" customWidth="1"/>
    <col min="15622" max="15622" width="9.85546875" style="72" customWidth="1"/>
    <col min="15623" max="15623" width="0" style="72" hidden="1" customWidth="1"/>
    <col min="15624" max="15624" width="4.7109375" style="72" customWidth="1"/>
    <col min="15625" max="15625" width="14.140625" style="72" customWidth="1"/>
    <col min="15626" max="15626" width="0" style="72" hidden="1" customWidth="1"/>
    <col min="15627" max="15627" width="9.140625" style="72"/>
    <col min="15628" max="15628" width="27.85546875" style="72" customWidth="1"/>
    <col min="15629" max="15629" width="11.42578125" style="72" customWidth="1"/>
    <col min="15630" max="15631" width="0" style="72" hidden="1" customWidth="1"/>
    <col min="15632" max="15633" width="12.42578125" style="72" customWidth="1"/>
    <col min="15634" max="15634" width="11.42578125" style="72" bestFit="1" customWidth="1"/>
    <col min="15635" max="15869" width="9.140625" style="72"/>
    <col min="15870" max="15870" width="23" style="72" customWidth="1"/>
    <col min="15871" max="15871" width="11.7109375" style="72" customWidth="1"/>
    <col min="15872" max="15872" width="10.85546875" style="72" customWidth="1"/>
    <col min="15873" max="15873" width="7.5703125" style="72" customWidth="1"/>
    <col min="15874" max="15874" width="30.28515625" style="72" customWidth="1"/>
    <col min="15875" max="15875" width="9.28515625" style="72" customWidth="1"/>
    <col min="15876" max="15876" width="27.42578125" style="72" customWidth="1"/>
    <col min="15877" max="15877" width="18.42578125" style="72" customWidth="1"/>
    <col min="15878" max="15878" width="9.85546875" style="72" customWidth="1"/>
    <col min="15879" max="15879" width="0" style="72" hidden="1" customWidth="1"/>
    <col min="15880" max="15880" width="4.7109375" style="72" customWidth="1"/>
    <col min="15881" max="15881" width="14.140625" style="72" customWidth="1"/>
    <col min="15882" max="15882" width="0" style="72" hidden="1" customWidth="1"/>
    <col min="15883" max="15883" width="9.140625" style="72"/>
    <col min="15884" max="15884" width="27.85546875" style="72" customWidth="1"/>
    <col min="15885" max="15885" width="11.42578125" style="72" customWidth="1"/>
    <col min="15886" max="15887" width="0" style="72" hidden="1" customWidth="1"/>
    <col min="15888" max="15889" width="12.42578125" style="72" customWidth="1"/>
    <col min="15890" max="15890" width="11.42578125" style="72" bestFit="1" customWidth="1"/>
    <col min="15891" max="16125" width="9.140625" style="72"/>
    <col min="16126" max="16126" width="23" style="72" customWidth="1"/>
    <col min="16127" max="16127" width="11.7109375" style="72" customWidth="1"/>
    <col min="16128" max="16128" width="10.85546875" style="72" customWidth="1"/>
    <col min="16129" max="16129" width="7.5703125" style="72" customWidth="1"/>
    <col min="16130" max="16130" width="30.28515625" style="72" customWidth="1"/>
    <col min="16131" max="16131" width="9.28515625" style="72" customWidth="1"/>
    <col min="16132" max="16132" width="27.42578125" style="72" customWidth="1"/>
    <col min="16133" max="16133" width="18.42578125" style="72" customWidth="1"/>
    <col min="16134" max="16134" width="9.85546875" style="72" customWidth="1"/>
    <col min="16135" max="16135" width="0" style="72" hidden="1" customWidth="1"/>
    <col min="16136" max="16136" width="4.7109375" style="72" customWidth="1"/>
    <col min="16137" max="16137" width="14.140625" style="72" customWidth="1"/>
    <col min="16138" max="16138" width="0" style="72" hidden="1" customWidth="1"/>
    <col min="16139" max="16139" width="9.140625" style="72"/>
    <col min="16140" max="16140" width="27.85546875" style="72" customWidth="1"/>
    <col min="16141" max="16141" width="11.42578125" style="72" customWidth="1"/>
    <col min="16142" max="16143" width="0" style="72" hidden="1" customWidth="1"/>
    <col min="16144" max="16145" width="12.42578125" style="72" customWidth="1"/>
    <col min="16146" max="16146" width="11.42578125" style="72" bestFit="1" customWidth="1"/>
    <col min="16147" max="16384" width="9.140625" style="72"/>
  </cols>
  <sheetData>
    <row r="1" spans="1:27" ht="30.75" customHeight="1">
      <c r="A1" s="262" t="s">
        <v>35</v>
      </c>
      <c r="B1" s="263"/>
      <c r="C1" s="264"/>
      <c r="D1" s="251" t="s">
        <v>193</v>
      </c>
      <c r="E1" s="251"/>
      <c r="F1" s="251" t="s">
        <v>194</v>
      </c>
      <c r="G1" s="251"/>
      <c r="H1" s="234" t="s">
        <v>195</v>
      </c>
      <c r="I1" s="235"/>
      <c r="J1" s="251" t="s">
        <v>196</v>
      </c>
      <c r="K1" s="251"/>
      <c r="L1" s="234" t="s">
        <v>197</v>
      </c>
      <c r="M1" s="252"/>
      <c r="N1" s="235"/>
      <c r="O1" s="186"/>
      <c r="P1" s="186"/>
      <c r="Q1" s="131"/>
      <c r="R1" s="131"/>
      <c r="S1" s="187"/>
      <c r="T1" s="187"/>
      <c r="U1" s="180"/>
    </row>
    <row r="2" spans="1:27" ht="17.25" customHeight="1">
      <c r="A2" s="265"/>
      <c r="B2" s="266"/>
      <c r="C2" s="267"/>
      <c r="D2" s="231" t="s">
        <v>198</v>
      </c>
      <c r="E2" s="233"/>
      <c r="F2" s="253" t="s">
        <v>199</v>
      </c>
      <c r="G2" s="254"/>
      <c r="H2" s="228" t="s">
        <v>200</v>
      </c>
      <c r="I2" s="230"/>
      <c r="J2" s="228" t="s">
        <v>201</v>
      </c>
      <c r="K2" s="230"/>
      <c r="L2" s="228" t="s">
        <v>202</v>
      </c>
      <c r="M2" s="229"/>
      <c r="N2" s="230"/>
      <c r="O2" s="130"/>
      <c r="P2" s="129"/>
      <c r="Q2" s="128"/>
      <c r="R2" s="131"/>
      <c r="S2" s="131"/>
      <c r="T2" s="131"/>
      <c r="U2" s="180"/>
    </row>
    <row r="3" spans="1:27" ht="18.75" customHeight="1">
      <c r="A3" s="74"/>
      <c r="B3" s="75"/>
      <c r="C3" s="76"/>
      <c r="D3" s="273" t="str">
        <f>建船資料檔!B6</f>
        <v>輯薪輪</v>
      </c>
      <c r="E3" s="274"/>
      <c r="F3" s="268">
        <f>建船資料檔!B7</f>
        <v>260727</v>
      </c>
      <c r="G3" s="269"/>
      <c r="H3" s="294" t="str">
        <f>建船資料檔!B8</f>
        <v xml:space="preserve">BP3379 </v>
      </c>
      <c r="I3" s="295"/>
      <c r="J3" s="292" t="str">
        <f>建船資料檔!B9</f>
        <v>姜大炎</v>
      </c>
      <c r="K3" s="293"/>
      <c r="L3" s="289" t="str">
        <f>建船資料檔!B10</f>
        <v>15PAHD</v>
      </c>
      <c r="M3" s="290"/>
      <c r="N3" s="291"/>
      <c r="O3" s="186"/>
      <c r="P3" s="186"/>
      <c r="Q3" s="186"/>
      <c r="R3" s="186"/>
      <c r="S3" s="187"/>
      <c r="T3" s="187"/>
      <c r="U3" s="179"/>
      <c r="V3" s="186"/>
      <c r="W3" s="177"/>
      <c r="X3" s="77"/>
      <c r="Y3" s="78"/>
      <c r="Z3" s="78"/>
      <c r="AA3" s="78"/>
    </row>
    <row r="4" spans="1:27">
      <c r="A4" s="270" t="s">
        <v>36</v>
      </c>
      <c r="B4" s="271"/>
      <c r="C4" s="272"/>
      <c r="D4" s="234" t="s">
        <v>203</v>
      </c>
      <c r="E4" s="235"/>
      <c r="F4" s="234" t="s">
        <v>204</v>
      </c>
      <c r="G4" s="235"/>
      <c r="H4" s="234" t="s">
        <v>205</v>
      </c>
      <c r="I4" s="235"/>
      <c r="J4" s="234" t="s">
        <v>206</v>
      </c>
      <c r="K4" s="235"/>
      <c r="L4" s="234" t="s">
        <v>207</v>
      </c>
      <c r="M4" s="252"/>
      <c r="N4" s="235"/>
      <c r="O4" s="148"/>
      <c r="P4" s="154"/>
      <c r="Q4" s="179"/>
      <c r="R4" s="179"/>
      <c r="S4" s="147"/>
      <c r="T4" s="147"/>
      <c r="U4" s="180"/>
      <c r="V4" s="185"/>
      <c r="W4" s="148"/>
      <c r="X4" s="82"/>
      <c r="Y4" s="78"/>
      <c r="Z4" s="78"/>
      <c r="AA4" s="78"/>
    </row>
    <row r="5" spans="1:27">
      <c r="A5" s="231" t="s">
        <v>273</v>
      </c>
      <c r="B5" s="232"/>
      <c r="C5" s="233"/>
      <c r="D5" s="228" t="s">
        <v>208</v>
      </c>
      <c r="E5" s="230"/>
      <c r="F5" s="228" t="s">
        <v>209</v>
      </c>
      <c r="G5" s="230"/>
      <c r="H5" s="228" t="s">
        <v>210</v>
      </c>
      <c r="I5" s="230"/>
      <c r="J5" s="228" t="s">
        <v>211</v>
      </c>
      <c r="K5" s="230"/>
      <c r="L5" s="228" t="s">
        <v>212</v>
      </c>
      <c r="M5" s="229"/>
      <c r="N5" s="230"/>
      <c r="O5" s="148"/>
      <c r="P5" s="154"/>
      <c r="Q5" s="147"/>
      <c r="R5" s="147"/>
      <c r="S5" s="147"/>
      <c r="T5" s="147"/>
      <c r="U5" s="180"/>
      <c r="V5" s="180"/>
      <c r="W5" s="147"/>
      <c r="X5" s="78"/>
      <c r="Y5" s="78"/>
      <c r="Z5" s="78"/>
      <c r="AA5" s="78"/>
    </row>
    <row r="6" spans="1:27">
      <c r="A6" s="228" t="s">
        <v>37</v>
      </c>
      <c r="B6" s="229"/>
      <c r="C6" s="230"/>
      <c r="D6" s="268" t="s">
        <v>188</v>
      </c>
      <c r="E6" s="269"/>
      <c r="F6" s="273" t="str">
        <f>建船資料檔!B11</f>
        <v>1486/445</v>
      </c>
      <c r="G6" s="274"/>
      <c r="H6" s="268" t="s">
        <v>213</v>
      </c>
      <c r="I6" s="269"/>
      <c r="J6" s="241" t="str">
        <f>建船資料檔!B12</f>
        <v>115/7/27</v>
      </c>
      <c r="K6" s="242"/>
      <c r="L6" s="241" t="str">
        <f>J6</f>
        <v>115/7/27</v>
      </c>
      <c r="M6" s="299"/>
      <c r="N6" s="242"/>
      <c r="O6" s="189"/>
      <c r="P6" s="189"/>
      <c r="Q6" s="189"/>
      <c r="R6" s="189"/>
      <c r="S6" s="188"/>
      <c r="T6" s="188"/>
      <c r="U6" s="179"/>
      <c r="V6" s="186"/>
      <c r="W6" s="177"/>
      <c r="X6" s="77"/>
      <c r="Y6" s="222"/>
      <c r="Z6" s="222"/>
      <c r="AA6" s="78"/>
    </row>
    <row r="7" spans="1:27">
      <c r="A7" s="231" t="s">
        <v>38</v>
      </c>
      <c r="B7" s="232"/>
      <c r="C7" s="233"/>
      <c r="D7" s="234" t="s">
        <v>39</v>
      </c>
      <c r="E7" s="235"/>
      <c r="F7" s="234" t="s">
        <v>40</v>
      </c>
      <c r="G7" s="235"/>
      <c r="H7" s="234" t="s">
        <v>41</v>
      </c>
      <c r="I7" s="235"/>
      <c r="J7" s="234" t="s">
        <v>42</v>
      </c>
      <c r="K7" s="235"/>
      <c r="L7" s="234" t="s">
        <v>43</v>
      </c>
      <c r="M7" s="235"/>
      <c r="N7" s="190" t="s">
        <v>44</v>
      </c>
      <c r="O7" s="155"/>
      <c r="P7" s="156"/>
      <c r="Q7" s="189"/>
      <c r="R7" s="189"/>
      <c r="S7" s="157"/>
      <c r="T7" s="157"/>
      <c r="U7" s="181"/>
      <c r="V7" s="185"/>
      <c r="W7" s="148"/>
      <c r="X7" s="82"/>
      <c r="Y7" s="81"/>
      <c r="Z7" s="81"/>
      <c r="AA7" s="78"/>
    </row>
    <row r="8" spans="1:27">
      <c r="A8" s="228" t="s">
        <v>45</v>
      </c>
      <c r="B8" s="229"/>
      <c r="C8" s="230"/>
      <c r="D8" s="228" t="s">
        <v>46</v>
      </c>
      <c r="E8" s="230"/>
      <c r="F8" s="228" t="s">
        <v>47</v>
      </c>
      <c r="G8" s="230"/>
      <c r="H8" s="231"/>
      <c r="I8" s="233"/>
      <c r="J8" s="228" t="s">
        <v>48</v>
      </c>
      <c r="K8" s="230"/>
      <c r="L8" s="231" t="s">
        <v>49</v>
      </c>
      <c r="M8" s="233"/>
      <c r="N8" s="197" t="s">
        <v>50</v>
      </c>
      <c r="O8" s="186"/>
      <c r="P8" s="186"/>
      <c r="Q8" s="186"/>
      <c r="R8" s="186"/>
      <c r="S8" s="187"/>
      <c r="T8" s="187"/>
      <c r="U8" s="179"/>
      <c r="V8" s="186"/>
      <c r="W8" s="177"/>
      <c r="X8" s="77"/>
      <c r="Y8" s="222"/>
      <c r="Z8" s="222"/>
    </row>
    <row r="9" spans="1:27">
      <c r="A9" s="296" t="s">
        <v>152</v>
      </c>
      <c r="B9" s="297"/>
      <c r="C9" s="298"/>
      <c r="D9" s="273" t="s">
        <v>225</v>
      </c>
      <c r="E9" s="274"/>
      <c r="F9" s="241"/>
      <c r="G9" s="242"/>
      <c r="H9" s="285"/>
      <c r="I9" s="269"/>
      <c r="J9" s="268"/>
      <c r="K9" s="269"/>
      <c r="L9" s="268" t="s">
        <v>51</v>
      </c>
      <c r="M9" s="269"/>
      <c r="N9" s="198"/>
      <c r="O9" s="189"/>
      <c r="P9" s="189"/>
      <c r="Q9" s="189"/>
      <c r="R9" s="189"/>
      <c r="S9" s="188"/>
      <c r="T9" s="188"/>
      <c r="U9" s="179"/>
      <c r="V9" s="178"/>
    </row>
    <row r="10" spans="1:27">
      <c r="A10" s="170" t="s">
        <v>52</v>
      </c>
      <c r="B10" s="170" t="s">
        <v>151</v>
      </c>
      <c r="C10" s="260" t="s">
        <v>53</v>
      </c>
      <c r="D10" s="261"/>
      <c r="E10" s="203" t="s">
        <v>54</v>
      </c>
      <c r="F10" s="226" t="s">
        <v>55</v>
      </c>
      <c r="G10" s="227"/>
      <c r="H10" s="170" t="s">
        <v>56</v>
      </c>
      <c r="I10" s="260" t="s">
        <v>57</v>
      </c>
      <c r="J10" s="261"/>
      <c r="K10" s="277" t="s">
        <v>58</v>
      </c>
      <c r="L10" s="278"/>
      <c r="M10" s="279"/>
      <c r="N10" s="171" t="s">
        <v>59</v>
      </c>
      <c r="O10" s="155"/>
      <c r="P10" s="156"/>
      <c r="Q10" s="189"/>
      <c r="R10" s="189"/>
      <c r="S10" s="157"/>
      <c r="T10" s="157"/>
      <c r="U10" s="182"/>
    </row>
    <row r="11" spans="1:27">
      <c r="A11" s="172" t="s">
        <v>60</v>
      </c>
      <c r="B11" s="173" t="s">
        <v>61</v>
      </c>
      <c r="C11" s="236" t="s">
        <v>62</v>
      </c>
      <c r="D11" s="237"/>
      <c r="E11" s="83" t="s">
        <v>63</v>
      </c>
      <c r="F11" s="283" t="s">
        <v>64</v>
      </c>
      <c r="G11" s="284"/>
      <c r="H11" s="173" t="s">
        <v>65</v>
      </c>
      <c r="I11" s="236" t="s">
        <v>66</v>
      </c>
      <c r="J11" s="237"/>
      <c r="K11" s="286" t="s">
        <v>67</v>
      </c>
      <c r="L11" s="287"/>
      <c r="M11" s="288"/>
      <c r="N11" s="174" t="s">
        <v>68</v>
      </c>
      <c r="O11" s="148"/>
      <c r="P11" s="154"/>
      <c r="Q11" s="147"/>
      <c r="R11" s="147"/>
      <c r="S11" s="147"/>
      <c r="T11" s="147"/>
    </row>
    <row r="12" spans="1:27">
      <c r="A12" s="173" t="s">
        <v>69</v>
      </c>
      <c r="B12" s="172" t="s">
        <v>70</v>
      </c>
      <c r="C12" s="236" t="s">
        <v>71</v>
      </c>
      <c r="D12" s="237"/>
      <c r="E12" s="85" t="s">
        <v>72</v>
      </c>
      <c r="F12" s="226" t="s">
        <v>73</v>
      </c>
      <c r="G12" s="227"/>
      <c r="H12" s="173" t="s">
        <v>74</v>
      </c>
      <c r="I12" s="255" t="s">
        <v>75</v>
      </c>
      <c r="J12" s="256"/>
      <c r="K12" s="280" t="s">
        <v>76</v>
      </c>
      <c r="L12" s="281"/>
      <c r="M12" s="282"/>
      <c r="N12" s="175" t="s">
        <v>226</v>
      </c>
      <c r="O12" s="158"/>
      <c r="P12" s="154"/>
      <c r="Q12" s="147"/>
      <c r="R12" s="147"/>
      <c r="S12" s="147"/>
      <c r="T12" s="147"/>
    </row>
    <row r="13" spans="1:27">
      <c r="A13" s="172" t="s">
        <v>227</v>
      </c>
      <c r="B13" s="173" t="s">
        <v>77</v>
      </c>
      <c r="C13" s="236" t="s">
        <v>78</v>
      </c>
      <c r="D13" s="237"/>
      <c r="E13" s="204"/>
      <c r="F13" s="283" t="s">
        <v>79</v>
      </c>
      <c r="G13" s="284"/>
      <c r="H13" s="173" t="s">
        <v>80</v>
      </c>
      <c r="I13" s="255" t="s">
        <v>81</v>
      </c>
      <c r="J13" s="256"/>
      <c r="K13" s="257"/>
      <c r="L13" s="258"/>
      <c r="M13" s="259"/>
      <c r="N13" s="173" t="s">
        <v>82</v>
      </c>
    </row>
    <row r="14" spans="1:27">
      <c r="A14" s="173" t="s">
        <v>83</v>
      </c>
      <c r="B14" s="173" t="s">
        <v>70</v>
      </c>
      <c r="C14" s="236" t="s">
        <v>84</v>
      </c>
      <c r="D14" s="237"/>
      <c r="E14" s="84"/>
      <c r="F14" s="226" t="s">
        <v>85</v>
      </c>
      <c r="G14" s="227"/>
      <c r="H14" s="173" t="s">
        <v>86</v>
      </c>
      <c r="I14" s="255" t="s">
        <v>87</v>
      </c>
      <c r="J14" s="256"/>
      <c r="K14" s="88"/>
      <c r="L14" s="89"/>
      <c r="M14" s="87"/>
      <c r="N14" s="173" t="s">
        <v>88</v>
      </c>
      <c r="O14" s="86"/>
    </row>
    <row r="15" spans="1:27">
      <c r="A15" s="199" t="s">
        <v>89</v>
      </c>
      <c r="B15" s="199" t="s">
        <v>90</v>
      </c>
      <c r="C15" s="224" t="s">
        <v>91</v>
      </c>
      <c r="D15" s="225"/>
      <c r="E15" s="90"/>
      <c r="F15" s="226" t="s">
        <v>92</v>
      </c>
      <c r="G15" s="227"/>
      <c r="H15" s="90"/>
      <c r="I15" s="200"/>
      <c r="J15" s="202"/>
      <c r="K15" s="200"/>
      <c r="L15" s="201"/>
      <c r="M15" s="202"/>
      <c r="N15" s="199" t="s">
        <v>93</v>
      </c>
      <c r="R15" s="86" t="s">
        <v>185</v>
      </c>
      <c r="T15" s="86"/>
    </row>
    <row r="16" spans="1:27" ht="62.25" customHeight="1">
      <c r="A16" s="205" t="s">
        <v>262</v>
      </c>
      <c r="B16" s="206" t="s">
        <v>252</v>
      </c>
      <c r="C16" s="207">
        <v>1599</v>
      </c>
      <c r="D16" s="208" t="s">
        <v>33</v>
      </c>
      <c r="E16" s="210" t="s">
        <v>263</v>
      </c>
      <c r="F16" s="275" t="str">
        <f>T16&amp;"  "&amp;E16&amp;"/"&amp;U16&amp;"/"&amp;V16&amp;"/"&amp;P16</f>
        <v>EXPRESS PACKAGE  TCNU9125529/45G1/2/200405</v>
      </c>
      <c r="G16" s="276"/>
      <c r="H16" s="127" t="s">
        <v>265</v>
      </c>
      <c r="I16" s="95">
        <v>7137</v>
      </c>
      <c r="J16" s="96" t="s">
        <v>235</v>
      </c>
      <c r="K16" s="238" t="s">
        <v>266</v>
      </c>
      <c r="L16" s="239"/>
      <c r="M16" s="240"/>
      <c r="N16" s="149" t="s">
        <v>95</v>
      </c>
      <c r="O16" s="150" t="s">
        <v>267</v>
      </c>
      <c r="P16" s="196">
        <v>200405</v>
      </c>
      <c r="Q16" s="220" t="s">
        <v>274</v>
      </c>
      <c r="R16" s="116">
        <v>24951752</v>
      </c>
      <c r="S16" s="116" t="s">
        <v>244</v>
      </c>
      <c r="T16" s="221" t="s">
        <v>275</v>
      </c>
      <c r="U16" s="184" t="s">
        <v>187</v>
      </c>
      <c r="V16" s="184">
        <v>2</v>
      </c>
    </row>
    <row r="17" spans="1:22" ht="39.75" customHeight="1">
      <c r="A17" s="214" t="s">
        <v>96</v>
      </c>
      <c r="B17" s="91"/>
      <c r="C17" s="209">
        <f>SUM(C16:C16)</f>
        <v>1599</v>
      </c>
      <c r="D17" s="92" t="s">
        <v>94</v>
      </c>
      <c r="E17" s="213"/>
      <c r="F17" s="244"/>
      <c r="G17" s="245"/>
      <c r="H17" s="212"/>
      <c r="I17" s="246">
        <f>SUM(I16:J16)</f>
        <v>7137</v>
      </c>
      <c r="J17" s="247"/>
      <c r="K17" s="248"/>
      <c r="L17" s="249"/>
      <c r="M17" s="250"/>
      <c r="N17" s="211"/>
      <c r="T17" s="73"/>
      <c r="U17" s="184"/>
      <c r="V17" s="184"/>
    </row>
    <row r="18" spans="1:22">
      <c r="A18" s="223" t="s">
        <v>97</v>
      </c>
      <c r="B18" s="223"/>
      <c r="H18" s="223"/>
      <c r="I18" s="223"/>
      <c r="J18" s="223"/>
      <c r="K18" s="223"/>
    </row>
    <row r="19" spans="1:22">
      <c r="A19" s="243" t="s">
        <v>98</v>
      </c>
      <c r="B19" s="243"/>
      <c r="H19" s="243" t="s">
        <v>99</v>
      </c>
      <c r="I19" s="243"/>
      <c r="J19" s="243"/>
      <c r="K19" s="243"/>
    </row>
    <row r="21" spans="1:22">
      <c r="G21" s="79"/>
    </row>
  </sheetData>
  <mergeCells count="84">
    <mergeCell ref="L3:N3"/>
    <mergeCell ref="J3:K3"/>
    <mergeCell ref="C13:D13"/>
    <mergeCell ref="F13:G13"/>
    <mergeCell ref="D3:E3"/>
    <mergeCell ref="F3:G3"/>
    <mergeCell ref="H3:I3"/>
    <mergeCell ref="A9:C9"/>
    <mergeCell ref="D9:E9"/>
    <mergeCell ref="C11:D11"/>
    <mergeCell ref="L6:N6"/>
    <mergeCell ref="F10:G10"/>
    <mergeCell ref="I10:J10"/>
    <mergeCell ref="J8:K8"/>
    <mergeCell ref="L8:M8"/>
    <mergeCell ref="F16:G16"/>
    <mergeCell ref="H7:I7"/>
    <mergeCell ref="J7:K7"/>
    <mergeCell ref="L7:M7"/>
    <mergeCell ref="K10:M10"/>
    <mergeCell ref="I14:J14"/>
    <mergeCell ref="J9:K9"/>
    <mergeCell ref="F12:G12"/>
    <mergeCell ref="L9:M9"/>
    <mergeCell ref="K12:M12"/>
    <mergeCell ref="F11:G11"/>
    <mergeCell ref="I12:J12"/>
    <mergeCell ref="I11:J11"/>
    <mergeCell ref="F9:G9"/>
    <mergeCell ref="H9:I9"/>
    <mergeCell ref="K11:M11"/>
    <mergeCell ref="A1:C2"/>
    <mergeCell ref="D1:E1"/>
    <mergeCell ref="F1:G1"/>
    <mergeCell ref="H1:I1"/>
    <mergeCell ref="H8:I8"/>
    <mergeCell ref="A5:C5"/>
    <mergeCell ref="D5:E5"/>
    <mergeCell ref="F5:G5"/>
    <mergeCell ref="A6:C6"/>
    <mergeCell ref="D6:E6"/>
    <mergeCell ref="A4:C4"/>
    <mergeCell ref="D4:E4"/>
    <mergeCell ref="F4:G4"/>
    <mergeCell ref="H4:I4"/>
    <mergeCell ref="F6:G6"/>
    <mergeCell ref="H6:I6"/>
    <mergeCell ref="J1:K1"/>
    <mergeCell ref="F14:G14"/>
    <mergeCell ref="L1:N1"/>
    <mergeCell ref="D2:E2"/>
    <mergeCell ref="F2:G2"/>
    <mergeCell ref="H2:I2"/>
    <mergeCell ref="J2:K2"/>
    <mergeCell ref="L2:N2"/>
    <mergeCell ref="J4:K4"/>
    <mergeCell ref="L4:N4"/>
    <mergeCell ref="I13:J13"/>
    <mergeCell ref="K13:M13"/>
    <mergeCell ref="C10:D10"/>
    <mergeCell ref="H5:I5"/>
    <mergeCell ref="J5:K5"/>
    <mergeCell ref="L5:N5"/>
    <mergeCell ref="A19:B19"/>
    <mergeCell ref="H19:K19"/>
    <mergeCell ref="F17:G17"/>
    <mergeCell ref="I17:J17"/>
    <mergeCell ref="K17:M17"/>
    <mergeCell ref="Y6:Z6"/>
    <mergeCell ref="Y8:Z8"/>
    <mergeCell ref="A18:B18"/>
    <mergeCell ref="H18:K18"/>
    <mergeCell ref="C15:D15"/>
    <mergeCell ref="F15:G15"/>
    <mergeCell ref="A8:C8"/>
    <mergeCell ref="D8:E8"/>
    <mergeCell ref="F8:G8"/>
    <mergeCell ref="A7:C7"/>
    <mergeCell ref="D7:E7"/>
    <mergeCell ref="F7:G7"/>
    <mergeCell ref="C12:D12"/>
    <mergeCell ref="C14:D14"/>
    <mergeCell ref="K16:M16"/>
    <mergeCell ref="J6:K6"/>
  </mergeCells>
  <phoneticPr fontId="3" type="noConversion"/>
  <printOptions horizontalCentered="1" verticalCentered="1"/>
  <pageMargins left="0.15748031496062992" right="0" top="0.19685039370078741" bottom="0.19685039370078741" header="0.51181102362204722" footer="0.51181102362204722"/>
  <pageSetup paperSize="9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zoomScale="85" zoomScaleNormal="85" workbookViewId="0">
      <selection activeCell="K3" sqref="A3:K3"/>
    </sheetView>
  </sheetViews>
  <sheetFormatPr defaultColWidth="10.28515625" defaultRowHeight="16.5"/>
  <cols>
    <col min="1" max="1" width="8.140625" style="52" customWidth="1"/>
    <col min="2" max="2" width="19.85546875" style="52" customWidth="1"/>
    <col min="3" max="3" width="16.5703125" style="52" customWidth="1"/>
    <col min="4" max="4" width="21.7109375" style="52" customWidth="1"/>
    <col min="5" max="5" width="21.7109375" style="67" customWidth="1"/>
    <col min="6" max="6" width="38.5703125" style="52" customWidth="1"/>
    <col min="7" max="7" width="9.7109375" style="52" customWidth="1"/>
    <col min="8" max="8" width="21" style="52" customWidth="1"/>
    <col min="9" max="9" width="15.7109375" style="52" customWidth="1"/>
    <col min="10" max="10" width="10.28515625" style="52"/>
    <col min="11" max="11" width="21.7109375" style="52" customWidth="1"/>
    <col min="12" max="12" width="10.85546875" style="52" customWidth="1"/>
    <col min="13" max="16384" width="10.28515625" style="52"/>
  </cols>
  <sheetData>
    <row r="1" spans="1:12" ht="30" customHeight="1">
      <c r="A1" s="49" t="s">
        <v>223</v>
      </c>
      <c r="B1" s="50"/>
      <c r="C1" s="51"/>
      <c r="D1" s="50"/>
      <c r="E1" s="50"/>
      <c r="F1" s="50"/>
    </row>
    <row r="2" spans="1:12">
      <c r="A2" s="97" t="s">
        <v>214</v>
      </c>
      <c r="B2" s="53" t="s">
        <v>215</v>
      </c>
      <c r="C2" s="54" t="s">
        <v>216</v>
      </c>
      <c r="D2" s="54" t="s">
        <v>217</v>
      </c>
      <c r="E2" s="55" t="s">
        <v>218</v>
      </c>
      <c r="F2" s="54" t="s">
        <v>219</v>
      </c>
      <c r="G2" s="54" t="s">
        <v>220</v>
      </c>
      <c r="H2" s="54" t="s">
        <v>221</v>
      </c>
      <c r="I2" s="56" t="s">
        <v>222</v>
      </c>
    </row>
    <row r="3" spans="1:12" ht="45" customHeight="1">
      <c r="A3" s="103" t="str">
        <f>進口艙單印1份!B16</f>
        <v>5501</v>
      </c>
      <c r="B3" s="122" t="str">
        <f>進口艙單印1份!A16</f>
        <v>IPC260727702EX</v>
      </c>
      <c r="C3" s="104"/>
      <c r="D3" s="105" t="str">
        <f>進口艙單印1份!E16</f>
        <v>TCNU9125529</v>
      </c>
      <c r="E3" s="106" t="str">
        <f>'貨櫃清單-1份'!J9</f>
        <v>ESN888</v>
      </c>
      <c r="F3" s="119" t="s">
        <v>249</v>
      </c>
      <c r="G3" s="120" t="s">
        <v>268</v>
      </c>
      <c r="H3" s="119" t="s">
        <v>250</v>
      </c>
      <c r="I3" s="121" t="s">
        <v>246</v>
      </c>
      <c r="J3" s="107" t="str">
        <f>IF(進口艙單印1份!U16="45G1","40HQ","")</f>
        <v>40HQ</v>
      </c>
      <c r="K3" s="108">
        <f>進口艙單印1份!P16</f>
        <v>200405</v>
      </c>
      <c r="L3" s="109">
        <f>進口艙單印1份!I16</f>
        <v>7137</v>
      </c>
    </row>
    <row r="4" spans="1:12" ht="42.75" customHeight="1">
      <c r="A4" s="98"/>
      <c r="B4" s="99"/>
      <c r="C4" s="100"/>
      <c r="D4" s="101"/>
      <c r="E4" s="102"/>
      <c r="F4" s="58"/>
      <c r="G4" s="59"/>
      <c r="H4" s="58"/>
      <c r="I4" s="60"/>
    </row>
    <row r="5" spans="1:12" ht="42.75" customHeight="1">
      <c r="A5" s="57"/>
      <c r="B5" s="68"/>
      <c r="C5" s="69"/>
      <c r="D5" s="70"/>
      <c r="E5" s="71"/>
      <c r="I5" s="60"/>
    </row>
    <row r="6" spans="1:12" ht="42.75" customHeight="1">
      <c r="A6" s="57"/>
      <c r="B6" s="68"/>
      <c r="C6" s="69"/>
      <c r="D6" s="70"/>
      <c r="E6" s="71"/>
      <c r="F6" s="58"/>
      <c r="G6" s="59"/>
      <c r="H6" s="58"/>
      <c r="I6" s="60"/>
    </row>
    <row r="7" spans="1:12" ht="42.75" customHeight="1">
      <c r="A7" s="57"/>
      <c r="B7" s="68"/>
      <c r="C7" s="69"/>
      <c r="D7" s="70"/>
      <c r="E7" s="71"/>
      <c r="F7" s="58"/>
      <c r="G7" s="59"/>
      <c r="H7" s="58"/>
      <c r="I7" s="60"/>
    </row>
    <row r="8" spans="1:12" ht="42.75" customHeight="1">
      <c r="A8" s="57"/>
      <c r="B8" s="68"/>
      <c r="C8" s="69"/>
      <c r="D8" s="70"/>
      <c r="E8" s="71"/>
      <c r="F8" s="58"/>
      <c r="G8" s="59"/>
      <c r="H8" s="58"/>
      <c r="I8" s="60"/>
    </row>
    <row r="9" spans="1:12" ht="42.75" customHeight="1">
      <c r="A9" s="57"/>
      <c r="B9" s="68"/>
      <c r="C9" s="69"/>
      <c r="D9" s="70"/>
      <c r="E9" s="71"/>
      <c r="F9" s="58"/>
      <c r="G9" s="59"/>
      <c r="H9" s="58"/>
      <c r="I9" s="60"/>
    </row>
    <row r="10" spans="1:12" ht="39" customHeight="1">
      <c r="A10" s="57"/>
      <c r="B10" s="68"/>
      <c r="C10" s="69"/>
      <c r="D10" s="70"/>
      <c r="E10" s="71"/>
      <c r="F10" s="58"/>
      <c r="G10" s="59"/>
      <c r="H10" s="58"/>
      <c r="I10" s="60"/>
    </row>
    <row r="11" spans="1:12" ht="39" customHeight="1">
      <c r="A11" s="57"/>
      <c r="B11" s="68"/>
      <c r="C11" s="69"/>
      <c r="D11" s="70"/>
      <c r="E11" s="71"/>
      <c r="F11" s="61"/>
      <c r="G11" s="62"/>
      <c r="H11" s="61"/>
      <c r="I11" s="63"/>
    </row>
    <row r="12" spans="1:12" ht="39" customHeight="1">
      <c r="A12" s="57"/>
      <c r="B12" s="68"/>
      <c r="C12" s="69"/>
      <c r="D12" s="70"/>
      <c r="E12" s="71"/>
      <c r="F12" s="64"/>
      <c r="G12" s="65"/>
      <c r="H12" s="66"/>
      <c r="I12" s="60"/>
    </row>
    <row r="13" spans="1:12" ht="39" customHeight="1">
      <c r="A13" s="57"/>
      <c r="B13" s="68"/>
      <c r="C13" s="69"/>
      <c r="D13" s="70"/>
      <c r="E13" s="71"/>
      <c r="F13" s="64"/>
      <c r="G13" s="65"/>
      <c r="H13" s="66"/>
      <c r="I13" s="60"/>
    </row>
    <row r="14" spans="1:12" ht="51" customHeight="1">
      <c r="A14" s="57"/>
      <c r="B14" s="68"/>
      <c r="C14" s="69"/>
      <c r="D14" s="70"/>
      <c r="E14" s="71"/>
      <c r="F14" s="61"/>
      <c r="G14" s="62"/>
      <c r="H14" s="61"/>
      <c r="I14" s="60"/>
    </row>
    <row r="15" spans="1:12" ht="51.75" customHeight="1">
      <c r="A15" s="57"/>
      <c r="B15" s="68"/>
      <c r="C15" s="69"/>
      <c r="D15" s="70"/>
      <c r="E15" s="71"/>
      <c r="F15" s="61"/>
      <c r="G15" s="62"/>
      <c r="H15" s="61"/>
      <c r="I15" s="60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view="pageBreakPreview" zoomScaleNormal="100" zoomScaleSheetLayoutView="100" workbookViewId="0">
      <selection activeCell="A22" sqref="A22:B22"/>
    </sheetView>
  </sheetViews>
  <sheetFormatPr defaultRowHeight="16.5"/>
  <cols>
    <col min="1" max="1" width="3.7109375" style="10" customWidth="1"/>
    <col min="2" max="2" width="14.7109375" style="10" customWidth="1"/>
    <col min="3" max="3" width="12.7109375" style="10" customWidth="1"/>
    <col min="4" max="5" width="8.7109375" style="10" customWidth="1"/>
    <col min="6" max="6" width="10.7109375" style="10" customWidth="1"/>
    <col min="7" max="7" width="20.7109375" style="10" customWidth="1"/>
    <col min="8" max="8" width="18.7109375" style="10" customWidth="1"/>
    <col min="9" max="9" width="25.7109375" style="10" customWidth="1"/>
    <col min="10" max="10" width="18.28515625" style="144" customWidth="1"/>
    <col min="11" max="256" width="9.140625" style="10"/>
    <col min="257" max="257" width="5.140625" style="10" customWidth="1"/>
    <col min="258" max="258" width="13.140625" style="10" customWidth="1"/>
    <col min="259" max="259" width="7.85546875" style="10" customWidth="1"/>
    <col min="260" max="260" width="13.7109375" style="10" customWidth="1"/>
    <col min="261" max="261" width="8.7109375" style="10" customWidth="1"/>
    <col min="262" max="262" width="7.140625" style="10" customWidth="1"/>
    <col min="263" max="263" width="16.85546875" style="10" customWidth="1"/>
    <col min="264" max="264" width="15.28515625" style="10" customWidth="1"/>
    <col min="265" max="265" width="9.140625" style="10"/>
    <col min="266" max="266" width="15.85546875" style="10" customWidth="1"/>
    <col min="267" max="512" width="9.140625" style="10"/>
    <col min="513" max="513" width="5.140625" style="10" customWidth="1"/>
    <col min="514" max="514" width="13.140625" style="10" customWidth="1"/>
    <col min="515" max="515" width="7.85546875" style="10" customWidth="1"/>
    <col min="516" max="516" width="13.7109375" style="10" customWidth="1"/>
    <col min="517" max="517" width="8.7109375" style="10" customWidth="1"/>
    <col min="518" max="518" width="7.140625" style="10" customWidth="1"/>
    <col min="519" max="519" width="16.85546875" style="10" customWidth="1"/>
    <col min="520" max="520" width="15.28515625" style="10" customWidth="1"/>
    <col min="521" max="521" width="9.140625" style="10"/>
    <col min="522" max="522" width="15.85546875" style="10" customWidth="1"/>
    <col min="523" max="768" width="9.140625" style="10"/>
    <col min="769" max="769" width="5.140625" style="10" customWidth="1"/>
    <col min="770" max="770" width="13.140625" style="10" customWidth="1"/>
    <col min="771" max="771" width="7.85546875" style="10" customWidth="1"/>
    <col min="772" max="772" width="13.7109375" style="10" customWidth="1"/>
    <col min="773" max="773" width="8.7109375" style="10" customWidth="1"/>
    <col min="774" max="774" width="7.140625" style="10" customWidth="1"/>
    <col min="775" max="775" width="16.85546875" style="10" customWidth="1"/>
    <col min="776" max="776" width="15.28515625" style="10" customWidth="1"/>
    <col min="777" max="777" width="9.140625" style="10"/>
    <col min="778" max="778" width="15.85546875" style="10" customWidth="1"/>
    <col min="779" max="1024" width="9.140625" style="10"/>
    <col min="1025" max="1025" width="5.140625" style="10" customWidth="1"/>
    <col min="1026" max="1026" width="13.140625" style="10" customWidth="1"/>
    <col min="1027" max="1027" width="7.85546875" style="10" customWidth="1"/>
    <col min="1028" max="1028" width="13.7109375" style="10" customWidth="1"/>
    <col min="1029" max="1029" width="8.7109375" style="10" customWidth="1"/>
    <col min="1030" max="1030" width="7.140625" style="10" customWidth="1"/>
    <col min="1031" max="1031" width="16.85546875" style="10" customWidth="1"/>
    <col min="1032" max="1032" width="15.28515625" style="10" customWidth="1"/>
    <col min="1033" max="1033" width="9.140625" style="10"/>
    <col min="1034" max="1034" width="15.85546875" style="10" customWidth="1"/>
    <col min="1035" max="1280" width="9.140625" style="10"/>
    <col min="1281" max="1281" width="5.140625" style="10" customWidth="1"/>
    <col min="1282" max="1282" width="13.140625" style="10" customWidth="1"/>
    <col min="1283" max="1283" width="7.85546875" style="10" customWidth="1"/>
    <col min="1284" max="1284" width="13.7109375" style="10" customWidth="1"/>
    <col min="1285" max="1285" width="8.7109375" style="10" customWidth="1"/>
    <col min="1286" max="1286" width="7.140625" style="10" customWidth="1"/>
    <col min="1287" max="1287" width="16.85546875" style="10" customWidth="1"/>
    <col min="1288" max="1288" width="15.28515625" style="10" customWidth="1"/>
    <col min="1289" max="1289" width="9.140625" style="10"/>
    <col min="1290" max="1290" width="15.85546875" style="10" customWidth="1"/>
    <col min="1291" max="1536" width="9.140625" style="10"/>
    <col min="1537" max="1537" width="5.140625" style="10" customWidth="1"/>
    <col min="1538" max="1538" width="13.140625" style="10" customWidth="1"/>
    <col min="1539" max="1539" width="7.85546875" style="10" customWidth="1"/>
    <col min="1540" max="1540" width="13.7109375" style="10" customWidth="1"/>
    <col min="1541" max="1541" width="8.7109375" style="10" customWidth="1"/>
    <col min="1542" max="1542" width="7.140625" style="10" customWidth="1"/>
    <col min="1543" max="1543" width="16.85546875" style="10" customWidth="1"/>
    <col min="1544" max="1544" width="15.28515625" style="10" customWidth="1"/>
    <col min="1545" max="1545" width="9.140625" style="10"/>
    <col min="1546" max="1546" width="15.85546875" style="10" customWidth="1"/>
    <col min="1547" max="1792" width="9.140625" style="10"/>
    <col min="1793" max="1793" width="5.140625" style="10" customWidth="1"/>
    <col min="1794" max="1794" width="13.140625" style="10" customWidth="1"/>
    <col min="1795" max="1795" width="7.85546875" style="10" customWidth="1"/>
    <col min="1796" max="1796" width="13.7109375" style="10" customWidth="1"/>
    <col min="1797" max="1797" width="8.7109375" style="10" customWidth="1"/>
    <col min="1798" max="1798" width="7.140625" style="10" customWidth="1"/>
    <col min="1799" max="1799" width="16.85546875" style="10" customWidth="1"/>
    <col min="1800" max="1800" width="15.28515625" style="10" customWidth="1"/>
    <col min="1801" max="1801" width="9.140625" style="10"/>
    <col min="1802" max="1802" width="15.85546875" style="10" customWidth="1"/>
    <col min="1803" max="2048" width="9.140625" style="10"/>
    <col min="2049" max="2049" width="5.140625" style="10" customWidth="1"/>
    <col min="2050" max="2050" width="13.140625" style="10" customWidth="1"/>
    <col min="2051" max="2051" width="7.85546875" style="10" customWidth="1"/>
    <col min="2052" max="2052" width="13.7109375" style="10" customWidth="1"/>
    <col min="2053" max="2053" width="8.7109375" style="10" customWidth="1"/>
    <col min="2054" max="2054" width="7.140625" style="10" customWidth="1"/>
    <col min="2055" max="2055" width="16.85546875" style="10" customWidth="1"/>
    <col min="2056" max="2056" width="15.28515625" style="10" customWidth="1"/>
    <col min="2057" max="2057" width="9.140625" style="10"/>
    <col min="2058" max="2058" width="15.85546875" style="10" customWidth="1"/>
    <col min="2059" max="2304" width="9.140625" style="10"/>
    <col min="2305" max="2305" width="5.140625" style="10" customWidth="1"/>
    <col min="2306" max="2306" width="13.140625" style="10" customWidth="1"/>
    <col min="2307" max="2307" width="7.85546875" style="10" customWidth="1"/>
    <col min="2308" max="2308" width="13.7109375" style="10" customWidth="1"/>
    <col min="2309" max="2309" width="8.7109375" style="10" customWidth="1"/>
    <col min="2310" max="2310" width="7.140625" style="10" customWidth="1"/>
    <col min="2311" max="2311" width="16.85546875" style="10" customWidth="1"/>
    <col min="2312" max="2312" width="15.28515625" style="10" customWidth="1"/>
    <col min="2313" max="2313" width="9.140625" style="10"/>
    <col min="2314" max="2314" width="15.85546875" style="10" customWidth="1"/>
    <col min="2315" max="2560" width="9.140625" style="10"/>
    <col min="2561" max="2561" width="5.140625" style="10" customWidth="1"/>
    <col min="2562" max="2562" width="13.140625" style="10" customWidth="1"/>
    <col min="2563" max="2563" width="7.85546875" style="10" customWidth="1"/>
    <col min="2564" max="2564" width="13.7109375" style="10" customWidth="1"/>
    <col min="2565" max="2565" width="8.7109375" style="10" customWidth="1"/>
    <col min="2566" max="2566" width="7.140625" style="10" customWidth="1"/>
    <col min="2567" max="2567" width="16.85546875" style="10" customWidth="1"/>
    <col min="2568" max="2568" width="15.28515625" style="10" customWidth="1"/>
    <col min="2569" max="2569" width="9.140625" style="10"/>
    <col min="2570" max="2570" width="15.85546875" style="10" customWidth="1"/>
    <col min="2571" max="2816" width="9.140625" style="10"/>
    <col min="2817" max="2817" width="5.140625" style="10" customWidth="1"/>
    <col min="2818" max="2818" width="13.140625" style="10" customWidth="1"/>
    <col min="2819" max="2819" width="7.85546875" style="10" customWidth="1"/>
    <col min="2820" max="2820" width="13.7109375" style="10" customWidth="1"/>
    <col min="2821" max="2821" width="8.7109375" style="10" customWidth="1"/>
    <col min="2822" max="2822" width="7.140625" style="10" customWidth="1"/>
    <col min="2823" max="2823" width="16.85546875" style="10" customWidth="1"/>
    <col min="2824" max="2824" width="15.28515625" style="10" customWidth="1"/>
    <col min="2825" max="2825" width="9.140625" style="10"/>
    <col min="2826" max="2826" width="15.85546875" style="10" customWidth="1"/>
    <col min="2827" max="3072" width="9.140625" style="10"/>
    <col min="3073" max="3073" width="5.140625" style="10" customWidth="1"/>
    <col min="3074" max="3074" width="13.140625" style="10" customWidth="1"/>
    <col min="3075" max="3075" width="7.85546875" style="10" customWidth="1"/>
    <col min="3076" max="3076" width="13.7109375" style="10" customWidth="1"/>
    <col min="3077" max="3077" width="8.7109375" style="10" customWidth="1"/>
    <col min="3078" max="3078" width="7.140625" style="10" customWidth="1"/>
    <col min="3079" max="3079" width="16.85546875" style="10" customWidth="1"/>
    <col min="3080" max="3080" width="15.28515625" style="10" customWidth="1"/>
    <col min="3081" max="3081" width="9.140625" style="10"/>
    <col min="3082" max="3082" width="15.85546875" style="10" customWidth="1"/>
    <col min="3083" max="3328" width="9.140625" style="10"/>
    <col min="3329" max="3329" width="5.140625" style="10" customWidth="1"/>
    <col min="3330" max="3330" width="13.140625" style="10" customWidth="1"/>
    <col min="3331" max="3331" width="7.85546875" style="10" customWidth="1"/>
    <col min="3332" max="3332" width="13.7109375" style="10" customWidth="1"/>
    <col min="3333" max="3333" width="8.7109375" style="10" customWidth="1"/>
    <col min="3334" max="3334" width="7.140625" style="10" customWidth="1"/>
    <col min="3335" max="3335" width="16.85546875" style="10" customWidth="1"/>
    <col min="3336" max="3336" width="15.28515625" style="10" customWidth="1"/>
    <col min="3337" max="3337" width="9.140625" style="10"/>
    <col min="3338" max="3338" width="15.85546875" style="10" customWidth="1"/>
    <col min="3339" max="3584" width="9.140625" style="10"/>
    <col min="3585" max="3585" width="5.140625" style="10" customWidth="1"/>
    <col min="3586" max="3586" width="13.140625" style="10" customWidth="1"/>
    <col min="3587" max="3587" width="7.85546875" style="10" customWidth="1"/>
    <col min="3588" max="3588" width="13.7109375" style="10" customWidth="1"/>
    <col min="3589" max="3589" width="8.7109375" style="10" customWidth="1"/>
    <col min="3590" max="3590" width="7.140625" style="10" customWidth="1"/>
    <col min="3591" max="3591" width="16.85546875" style="10" customWidth="1"/>
    <col min="3592" max="3592" width="15.28515625" style="10" customWidth="1"/>
    <col min="3593" max="3593" width="9.140625" style="10"/>
    <col min="3594" max="3594" width="15.85546875" style="10" customWidth="1"/>
    <col min="3595" max="3840" width="9.140625" style="10"/>
    <col min="3841" max="3841" width="5.140625" style="10" customWidth="1"/>
    <col min="3842" max="3842" width="13.140625" style="10" customWidth="1"/>
    <col min="3843" max="3843" width="7.85546875" style="10" customWidth="1"/>
    <col min="3844" max="3844" width="13.7109375" style="10" customWidth="1"/>
    <col min="3845" max="3845" width="8.7109375" style="10" customWidth="1"/>
    <col min="3846" max="3846" width="7.140625" style="10" customWidth="1"/>
    <col min="3847" max="3847" width="16.85546875" style="10" customWidth="1"/>
    <col min="3848" max="3848" width="15.28515625" style="10" customWidth="1"/>
    <col min="3849" max="3849" width="9.140625" style="10"/>
    <col min="3850" max="3850" width="15.85546875" style="10" customWidth="1"/>
    <col min="3851" max="4096" width="9.140625" style="10"/>
    <col min="4097" max="4097" width="5.140625" style="10" customWidth="1"/>
    <col min="4098" max="4098" width="13.140625" style="10" customWidth="1"/>
    <col min="4099" max="4099" width="7.85546875" style="10" customWidth="1"/>
    <col min="4100" max="4100" width="13.7109375" style="10" customWidth="1"/>
    <col min="4101" max="4101" width="8.7109375" style="10" customWidth="1"/>
    <col min="4102" max="4102" width="7.140625" style="10" customWidth="1"/>
    <col min="4103" max="4103" width="16.85546875" style="10" customWidth="1"/>
    <col min="4104" max="4104" width="15.28515625" style="10" customWidth="1"/>
    <col min="4105" max="4105" width="9.140625" style="10"/>
    <col min="4106" max="4106" width="15.85546875" style="10" customWidth="1"/>
    <col min="4107" max="4352" width="9.140625" style="10"/>
    <col min="4353" max="4353" width="5.140625" style="10" customWidth="1"/>
    <col min="4354" max="4354" width="13.140625" style="10" customWidth="1"/>
    <col min="4355" max="4355" width="7.85546875" style="10" customWidth="1"/>
    <col min="4356" max="4356" width="13.7109375" style="10" customWidth="1"/>
    <col min="4357" max="4357" width="8.7109375" style="10" customWidth="1"/>
    <col min="4358" max="4358" width="7.140625" style="10" customWidth="1"/>
    <col min="4359" max="4359" width="16.85546875" style="10" customWidth="1"/>
    <col min="4360" max="4360" width="15.28515625" style="10" customWidth="1"/>
    <col min="4361" max="4361" width="9.140625" style="10"/>
    <col min="4362" max="4362" width="15.85546875" style="10" customWidth="1"/>
    <col min="4363" max="4608" width="9.140625" style="10"/>
    <col min="4609" max="4609" width="5.140625" style="10" customWidth="1"/>
    <col min="4610" max="4610" width="13.140625" style="10" customWidth="1"/>
    <col min="4611" max="4611" width="7.85546875" style="10" customWidth="1"/>
    <col min="4612" max="4612" width="13.7109375" style="10" customWidth="1"/>
    <col min="4613" max="4613" width="8.7109375" style="10" customWidth="1"/>
    <col min="4614" max="4614" width="7.140625" style="10" customWidth="1"/>
    <col min="4615" max="4615" width="16.85546875" style="10" customWidth="1"/>
    <col min="4616" max="4616" width="15.28515625" style="10" customWidth="1"/>
    <col min="4617" max="4617" width="9.140625" style="10"/>
    <col min="4618" max="4618" width="15.85546875" style="10" customWidth="1"/>
    <col min="4619" max="4864" width="9.140625" style="10"/>
    <col min="4865" max="4865" width="5.140625" style="10" customWidth="1"/>
    <col min="4866" max="4866" width="13.140625" style="10" customWidth="1"/>
    <col min="4867" max="4867" width="7.85546875" style="10" customWidth="1"/>
    <col min="4868" max="4868" width="13.7109375" style="10" customWidth="1"/>
    <col min="4869" max="4869" width="8.7109375" style="10" customWidth="1"/>
    <col min="4870" max="4870" width="7.140625" style="10" customWidth="1"/>
    <col min="4871" max="4871" width="16.85546875" style="10" customWidth="1"/>
    <col min="4872" max="4872" width="15.28515625" style="10" customWidth="1"/>
    <col min="4873" max="4873" width="9.140625" style="10"/>
    <col min="4874" max="4874" width="15.85546875" style="10" customWidth="1"/>
    <col min="4875" max="5120" width="9.140625" style="10"/>
    <col min="5121" max="5121" width="5.140625" style="10" customWidth="1"/>
    <col min="5122" max="5122" width="13.140625" style="10" customWidth="1"/>
    <col min="5123" max="5123" width="7.85546875" style="10" customWidth="1"/>
    <col min="5124" max="5124" width="13.7109375" style="10" customWidth="1"/>
    <col min="5125" max="5125" width="8.7109375" style="10" customWidth="1"/>
    <col min="5126" max="5126" width="7.140625" style="10" customWidth="1"/>
    <col min="5127" max="5127" width="16.85546875" style="10" customWidth="1"/>
    <col min="5128" max="5128" width="15.28515625" style="10" customWidth="1"/>
    <col min="5129" max="5129" width="9.140625" style="10"/>
    <col min="5130" max="5130" width="15.85546875" style="10" customWidth="1"/>
    <col min="5131" max="5376" width="9.140625" style="10"/>
    <col min="5377" max="5377" width="5.140625" style="10" customWidth="1"/>
    <col min="5378" max="5378" width="13.140625" style="10" customWidth="1"/>
    <col min="5379" max="5379" width="7.85546875" style="10" customWidth="1"/>
    <col min="5380" max="5380" width="13.7109375" style="10" customWidth="1"/>
    <col min="5381" max="5381" width="8.7109375" style="10" customWidth="1"/>
    <col min="5382" max="5382" width="7.140625" style="10" customWidth="1"/>
    <col min="5383" max="5383" width="16.85546875" style="10" customWidth="1"/>
    <col min="5384" max="5384" width="15.28515625" style="10" customWidth="1"/>
    <col min="5385" max="5385" width="9.140625" style="10"/>
    <col min="5386" max="5386" width="15.85546875" style="10" customWidth="1"/>
    <col min="5387" max="5632" width="9.140625" style="10"/>
    <col min="5633" max="5633" width="5.140625" style="10" customWidth="1"/>
    <col min="5634" max="5634" width="13.140625" style="10" customWidth="1"/>
    <col min="5635" max="5635" width="7.85546875" style="10" customWidth="1"/>
    <col min="5636" max="5636" width="13.7109375" style="10" customWidth="1"/>
    <col min="5637" max="5637" width="8.7109375" style="10" customWidth="1"/>
    <col min="5638" max="5638" width="7.140625" style="10" customWidth="1"/>
    <col min="5639" max="5639" width="16.85546875" style="10" customWidth="1"/>
    <col min="5640" max="5640" width="15.28515625" style="10" customWidth="1"/>
    <col min="5641" max="5641" width="9.140625" style="10"/>
    <col min="5642" max="5642" width="15.85546875" style="10" customWidth="1"/>
    <col min="5643" max="5888" width="9.140625" style="10"/>
    <col min="5889" max="5889" width="5.140625" style="10" customWidth="1"/>
    <col min="5890" max="5890" width="13.140625" style="10" customWidth="1"/>
    <col min="5891" max="5891" width="7.85546875" style="10" customWidth="1"/>
    <col min="5892" max="5892" width="13.7109375" style="10" customWidth="1"/>
    <col min="5893" max="5893" width="8.7109375" style="10" customWidth="1"/>
    <col min="5894" max="5894" width="7.140625" style="10" customWidth="1"/>
    <col min="5895" max="5895" width="16.85546875" style="10" customWidth="1"/>
    <col min="5896" max="5896" width="15.28515625" style="10" customWidth="1"/>
    <col min="5897" max="5897" width="9.140625" style="10"/>
    <col min="5898" max="5898" width="15.85546875" style="10" customWidth="1"/>
    <col min="5899" max="6144" width="9.140625" style="10"/>
    <col min="6145" max="6145" width="5.140625" style="10" customWidth="1"/>
    <col min="6146" max="6146" width="13.140625" style="10" customWidth="1"/>
    <col min="6147" max="6147" width="7.85546875" style="10" customWidth="1"/>
    <col min="6148" max="6148" width="13.7109375" style="10" customWidth="1"/>
    <col min="6149" max="6149" width="8.7109375" style="10" customWidth="1"/>
    <col min="6150" max="6150" width="7.140625" style="10" customWidth="1"/>
    <col min="6151" max="6151" width="16.85546875" style="10" customWidth="1"/>
    <col min="6152" max="6152" width="15.28515625" style="10" customWidth="1"/>
    <col min="6153" max="6153" width="9.140625" style="10"/>
    <col min="6154" max="6154" width="15.85546875" style="10" customWidth="1"/>
    <col min="6155" max="6400" width="9.140625" style="10"/>
    <col min="6401" max="6401" width="5.140625" style="10" customWidth="1"/>
    <col min="6402" max="6402" width="13.140625" style="10" customWidth="1"/>
    <col min="6403" max="6403" width="7.85546875" style="10" customWidth="1"/>
    <col min="6404" max="6404" width="13.7109375" style="10" customWidth="1"/>
    <col min="6405" max="6405" width="8.7109375" style="10" customWidth="1"/>
    <col min="6406" max="6406" width="7.140625" style="10" customWidth="1"/>
    <col min="6407" max="6407" width="16.85546875" style="10" customWidth="1"/>
    <col min="6408" max="6408" width="15.28515625" style="10" customWidth="1"/>
    <col min="6409" max="6409" width="9.140625" style="10"/>
    <col min="6410" max="6410" width="15.85546875" style="10" customWidth="1"/>
    <col min="6411" max="6656" width="9.140625" style="10"/>
    <col min="6657" max="6657" width="5.140625" style="10" customWidth="1"/>
    <col min="6658" max="6658" width="13.140625" style="10" customWidth="1"/>
    <col min="6659" max="6659" width="7.85546875" style="10" customWidth="1"/>
    <col min="6660" max="6660" width="13.7109375" style="10" customWidth="1"/>
    <col min="6661" max="6661" width="8.7109375" style="10" customWidth="1"/>
    <col min="6662" max="6662" width="7.140625" style="10" customWidth="1"/>
    <col min="6663" max="6663" width="16.85546875" style="10" customWidth="1"/>
    <col min="6664" max="6664" width="15.28515625" style="10" customWidth="1"/>
    <col min="6665" max="6665" width="9.140625" style="10"/>
    <col min="6666" max="6666" width="15.85546875" style="10" customWidth="1"/>
    <col min="6667" max="6912" width="9.140625" style="10"/>
    <col min="6913" max="6913" width="5.140625" style="10" customWidth="1"/>
    <col min="6914" max="6914" width="13.140625" style="10" customWidth="1"/>
    <col min="6915" max="6915" width="7.85546875" style="10" customWidth="1"/>
    <col min="6916" max="6916" width="13.7109375" style="10" customWidth="1"/>
    <col min="6917" max="6917" width="8.7109375" style="10" customWidth="1"/>
    <col min="6918" max="6918" width="7.140625" style="10" customWidth="1"/>
    <col min="6919" max="6919" width="16.85546875" style="10" customWidth="1"/>
    <col min="6920" max="6920" width="15.28515625" style="10" customWidth="1"/>
    <col min="6921" max="6921" width="9.140625" style="10"/>
    <col min="6922" max="6922" width="15.85546875" style="10" customWidth="1"/>
    <col min="6923" max="7168" width="9.140625" style="10"/>
    <col min="7169" max="7169" width="5.140625" style="10" customWidth="1"/>
    <col min="7170" max="7170" width="13.140625" style="10" customWidth="1"/>
    <col min="7171" max="7171" width="7.85546875" style="10" customWidth="1"/>
    <col min="7172" max="7172" width="13.7109375" style="10" customWidth="1"/>
    <col min="7173" max="7173" width="8.7109375" style="10" customWidth="1"/>
    <col min="7174" max="7174" width="7.140625" style="10" customWidth="1"/>
    <col min="7175" max="7175" width="16.85546875" style="10" customWidth="1"/>
    <col min="7176" max="7176" width="15.28515625" style="10" customWidth="1"/>
    <col min="7177" max="7177" width="9.140625" style="10"/>
    <col min="7178" max="7178" width="15.85546875" style="10" customWidth="1"/>
    <col min="7179" max="7424" width="9.140625" style="10"/>
    <col min="7425" max="7425" width="5.140625" style="10" customWidth="1"/>
    <col min="7426" max="7426" width="13.140625" style="10" customWidth="1"/>
    <col min="7427" max="7427" width="7.85546875" style="10" customWidth="1"/>
    <col min="7428" max="7428" width="13.7109375" style="10" customWidth="1"/>
    <col min="7429" max="7429" width="8.7109375" style="10" customWidth="1"/>
    <col min="7430" max="7430" width="7.140625" style="10" customWidth="1"/>
    <col min="7431" max="7431" width="16.85546875" style="10" customWidth="1"/>
    <col min="7432" max="7432" width="15.28515625" style="10" customWidth="1"/>
    <col min="7433" max="7433" width="9.140625" style="10"/>
    <col min="7434" max="7434" width="15.85546875" style="10" customWidth="1"/>
    <col min="7435" max="7680" width="9.140625" style="10"/>
    <col min="7681" max="7681" width="5.140625" style="10" customWidth="1"/>
    <col min="7682" max="7682" width="13.140625" style="10" customWidth="1"/>
    <col min="7683" max="7683" width="7.85546875" style="10" customWidth="1"/>
    <col min="7684" max="7684" width="13.7109375" style="10" customWidth="1"/>
    <col min="7685" max="7685" width="8.7109375" style="10" customWidth="1"/>
    <col min="7686" max="7686" width="7.140625" style="10" customWidth="1"/>
    <col min="7687" max="7687" width="16.85546875" style="10" customWidth="1"/>
    <col min="7688" max="7688" width="15.28515625" style="10" customWidth="1"/>
    <col min="7689" max="7689" width="9.140625" style="10"/>
    <col min="7690" max="7690" width="15.85546875" style="10" customWidth="1"/>
    <col min="7691" max="7936" width="9.140625" style="10"/>
    <col min="7937" max="7937" width="5.140625" style="10" customWidth="1"/>
    <col min="7938" max="7938" width="13.140625" style="10" customWidth="1"/>
    <col min="7939" max="7939" width="7.85546875" style="10" customWidth="1"/>
    <col min="7940" max="7940" width="13.7109375" style="10" customWidth="1"/>
    <col min="7941" max="7941" width="8.7109375" style="10" customWidth="1"/>
    <col min="7942" max="7942" width="7.140625" style="10" customWidth="1"/>
    <col min="7943" max="7943" width="16.85546875" style="10" customWidth="1"/>
    <col min="7944" max="7944" width="15.28515625" style="10" customWidth="1"/>
    <col min="7945" max="7945" width="9.140625" style="10"/>
    <col min="7946" max="7946" width="15.85546875" style="10" customWidth="1"/>
    <col min="7947" max="8192" width="9.140625" style="10"/>
    <col min="8193" max="8193" width="5.140625" style="10" customWidth="1"/>
    <col min="8194" max="8194" width="13.140625" style="10" customWidth="1"/>
    <col min="8195" max="8195" width="7.85546875" style="10" customWidth="1"/>
    <col min="8196" max="8196" width="13.7109375" style="10" customWidth="1"/>
    <col min="8197" max="8197" width="8.7109375" style="10" customWidth="1"/>
    <col min="8198" max="8198" width="7.140625" style="10" customWidth="1"/>
    <col min="8199" max="8199" width="16.85546875" style="10" customWidth="1"/>
    <col min="8200" max="8200" width="15.28515625" style="10" customWidth="1"/>
    <col min="8201" max="8201" width="9.140625" style="10"/>
    <col min="8202" max="8202" width="15.85546875" style="10" customWidth="1"/>
    <col min="8203" max="8448" width="9.140625" style="10"/>
    <col min="8449" max="8449" width="5.140625" style="10" customWidth="1"/>
    <col min="8450" max="8450" width="13.140625" style="10" customWidth="1"/>
    <col min="8451" max="8451" width="7.85546875" style="10" customWidth="1"/>
    <col min="8452" max="8452" width="13.7109375" style="10" customWidth="1"/>
    <col min="8453" max="8453" width="8.7109375" style="10" customWidth="1"/>
    <col min="8454" max="8454" width="7.140625" style="10" customWidth="1"/>
    <col min="8455" max="8455" width="16.85546875" style="10" customWidth="1"/>
    <col min="8456" max="8456" width="15.28515625" style="10" customWidth="1"/>
    <col min="8457" max="8457" width="9.140625" style="10"/>
    <col min="8458" max="8458" width="15.85546875" style="10" customWidth="1"/>
    <col min="8459" max="8704" width="9.140625" style="10"/>
    <col min="8705" max="8705" width="5.140625" style="10" customWidth="1"/>
    <col min="8706" max="8706" width="13.140625" style="10" customWidth="1"/>
    <col min="8707" max="8707" width="7.85546875" style="10" customWidth="1"/>
    <col min="8708" max="8708" width="13.7109375" style="10" customWidth="1"/>
    <col min="8709" max="8709" width="8.7109375" style="10" customWidth="1"/>
    <col min="8710" max="8710" width="7.140625" style="10" customWidth="1"/>
    <col min="8711" max="8711" width="16.85546875" style="10" customWidth="1"/>
    <col min="8712" max="8712" width="15.28515625" style="10" customWidth="1"/>
    <col min="8713" max="8713" width="9.140625" style="10"/>
    <col min="8714" max="8714" width="15.85546875" style="10" customWidth="1"/>
    <col min="8715" max="8960" width="9.140625" style="10"/>
    <col min="8961" max="8961" width="5.140625" style="10" customWidth="1"/>
    <col min="8962" max="8962" width="13.140625" style="10" customWidth="1"/>
    <col min="8963" max="8963" width="7.85546875" style="10" customWidth="1"/>
    <col min="8964" max="8964" width="13.7109375" style="10" customWidth="1"/>
    <col min="8965" max="8965" width="8.7109375" style="10" customWidth="1"/>
    <col min="8966" max="8966" width="7.140625" style="10" customWidth="1"/>
    <col min="8967" max="8967" width="16.85546875" style="10" customWidth="1"/>
    <col min="8968" max="8968" width="15.28515625" style="10" customWidth="1"/>
    <col min="8969" max="8969" width="9.140625" style="10"/>
    <col min="8970" max="8970" width="15.85546875" style="10" customWidth="1"/>
    <col min="8971" max="9216" width="9.140625" style="10"/>
    <col min="9217" max="9217" width="5.140625" style="10" customWidth="1"/>
    <col min="9218" max="9218" width="13.140625" style="10" customWidth="1"/>
    <col min="9219" max="9219" width="7.85546875" style="10" customWidth="1"/>
    <col min="9220" max="9220" width="13.7109375" style="10" customWidth="1"/>
    <col min="9221" max="9221" width="8.7109375" style="10" customWidth="1"/>
    <col min="9222" max="9222" width="7.140625" style="10" customWidth="1"/>
    <col min="9223" max="9223" width="16.85546875" style="10" customWidth="1"/>
    <col min="9224" max="9224" width="15.28515625" style="10" customWidth="1"/>
    <col min="9225" max="9225" width="9.140625" style="10"/>
    <col min="9226" max="9226" width="15.85546875" style="10" customWidth="1"/>
    <col min="9227" max="9472" width="9.140625" style="10"/>
    <col min="9473" max="9473" width="5.140625" style="10" customWidth="1"/>
    <col min="9474" max="9474" width="13.140625" style="10" customWidth="1"/>
    <col min="9475" max="9475" width="7.85546875" style="10" customWidth="1"/>
    <col min="9476" max="9476" width="13.7109375" style="10" customWidth="1"/>
    <col min="9477" max="9477" width="8.7109375" style="10" customWidth="1"/>
    <col min="9478" max="9478" width="7.140625" style="10" customWidth="1"/>
    <col min="9479" max="9479" width="16.85546875" style="10" customWidth="1"/>
    <col min="9480" max="9480" width="15.28515625" style="10" customWidth="1"/>
    <col min="9481" max="9481" width="9.140625" style="10"/>
    <col min="9482" max="9482" width="15.85546875" style="10" customWidth="1"/>
    <col min="9483" max="9728" width="9.140625" style="10"/>
    <col min="9729" max="9729" width="5.140625" style="10" customWidth="1"/>
    <col min="9730" max="9730" width="13.140625" style="10" customWidth="1"/>
    <col min="9731" max="9731" width="7.85546875" style="10" customWidth="1"/>
    <col min="9732" max="9732" width="13.7109375" style="10" customWidth="1"/>
    <col min="9733" max="9733" width="8.7109375" style="10" customWidth="1"/>
    <col min="9734" max="9734" width="7.140625" style="10" customWidth="1"/>
    <col min="9735" max="9735" width="16.85546875" style="10" customWidth="1"/>
    <col min="9736" max="9736" width="15.28515625" style="10" customWidth="1"/>
    <col min="9737" max="9737" width="9.140625" style="10"/>
    <col min="9738" max="9738" width="15.85546875" style="10" customWidth="1"/>
    <col min="9739" max="9984" width="9.140625" style="10"/>
    <col min="9985" max="9985" width="5.140625" style="10" customWidth="1"/>
    <col min="9986" max="9986" width="13.140625" style="10" customWidth="1"/>
    <col min="9987" max="9987" width="7.85546875" style="10" customWidth="1"/>
    <col min="9988" max="9988" width="13.7109375" style="10" customWidth="1"/>
    <col min="9989" max="9989" width="8.7109375" style="10" customWidth="1"/>
    <col min="9990" max="9990" width="7.140625" style="10" customWidth="1"/>
    <col min="9991" max="9991" width="16.85546875" style="10" customWidth="1"/>
    <col min="9992" max="9992" width="15.28515625" style="10" customWidth="1"/>
    <col min="9993" max="9993" width="9.140625" style="10"/>
    <col min="9994" max="9994" width="15.85546875" style="10" customWidth="1"/>
    <col min="9995" max="10240" width="9.140625" style="10"/>
    <col min="10241" max="10241" width="5.140625" style="10" customWidth="1"/>
    <col min="10242" max="10242" width="13.140625" style="10" customWidth="1"/>
    <col min="10243" max="10243" width="7.85546875" style="10" customWidth="1"/>
    <col min="10244" max="10244" width="13.7109375" style="10" customWidth="1"/>
    <col min="10245" max="10245" width="8.7109375" style="10" customWidth="1"/>
    <col min="10246" max="10246" width="7.140625" style="10" customWidth="1"/>
    <col min="10247" max="10247" width="16.85546875" style="10" customWidth="1"/>
    <col min="10248" max="10248" width="15.28515625" style="10" customWidth="1"/>
    <col min="10249" max="10249" width="9.140625" style="10"/>
    <col min="10250" max="10250" width="15.85546875" style="10" customWidth="1"/>
    <col min="10251" max="10496" width="9.140625" style="10"/>
    <col min="10497" max="10497" width="5.140625" style="10" customWidth="1"/>
    <col min="10498" max="10498" width="13.140625" style="10" customWidth="1"/>
    <col min="10499" max="10499" width="7.85546875" style="10" customWidth="1"/>
    <col min="10500" max="10500" width="13.7109375" style="10" customWidth="1"/>
    <col min="10501" max="10501" width="8.7109375" style="10" customWidth="1"/>
    <col min="10502" max="10502" width="7.140625" style="10" customWidth="1"/>
    <col min="10503" max="10503" width="16.85546875" style="10" customWidth="1"/>
    <col min="10504" max="10504" width="15.28515625" style="10" customWidth="1"/>
    <col min="10505" max="10505" width="9.140625" style="10"/>
    <col min="10506" max="10506" width="15.85546875" style="10" customWidth="1"/>
    <col min="10507" max="10752" width="9.140625" style="10"/>
    <col min="10753" max="10753" width="5.140625" style="10" customWidth="1"/>
    <col min="10754" max="10754" width="13.140625" style="10" customWidth="1"/>
    <col min="10755" max="10755" width="7.85546875" style="10" customWidth="1"/>
    <col min="10756" max="10756" width="13.7109375" style="10" customWidth="1"/>
    <col min="10757" max="10757" width="8.7109375" style="10" customWidth="1"/>
    <col min="10758" max="10758" width="7.140625" style="10" customWidth="1"/>
    <col min="10759" max="10759" width="16.85546875" style="10" customWidth="1"/>
    <col min="10760" max="10760" width="15.28515625" style="10" customWidth="1"/>
    <col min="10761" max="10761" width="9.140625" style="10"/>
    <col min="10762" max="10762" width="15.85546875" style="10" customWidth="1"/>
    <col min="10763" max="11008" width="9.140625" style="10"/>
    <col min="11009" max="11009" width="5.140625" style="10" customWidth="1"/>
    <col min="11010" max="11010" width="13.140625" style="10" customWidth="1"/>
    <col min="11011" max="11011" width="7.85546875" style="10" customWidth="1"/>
    <col min="11012" max="11012" width="13.7109375" style="10" customWidth="1"/>
    <col min="11013" max="11013" width="8.7109375" style="10" customWidth="1"/>
    <col min="11014" max="11014" width="7.140625" style="10" customWidth="1"/>
    <col min="11015" max="11015" width="16.85546875" style="10" customWidth="1"/>
    <col min="11016" max="11016" width="15.28515625" style="10" customWidth="1"/>
    <col min="11017" max="11017" width="9.140625" style="10"/>
    <col min="11018" max="11018" width="15.85546875" style="10" customWidth="1"/>
    <col min="11019" max="11264" width="9.140625" style="10"/>
    <col min="11265" max="11265" width="5.140625" style="10" customWidth="1"/>
    <col min="11266" max="11266" width="13.140625" style="10" customWidth="1"/>
    <col min="11267" max="11267" width="7.85546875" style="10" customWidth="1"/>
    <col min="11268" max="11268" width="13.7109375" style="10" customWidth="1"/>
    <col min="11269" max="11269" width="8.7109375" style="10" customWidth="1"/>
    <col min="11270" max="11270" width="7.140625" style="10" customWidth="1"/>
    <col min="11271" max="11271" width="16.85546875" style="10" customWidth="1"/>
    <col min="11272" max="11272" width="15.28515625" style="10" customWidth="1"/>
    <col min="11273" max="11273" width="9.140625" style="10"/>
    <col min="11274" max="11274" width="15.85546875" style="10" customWidth="1"/>
    <col min="11275" max="11520" width="9.140625" style="10"/>
    <col min="11521" max="11521" width="5.140625" style="10" customWidth="1"/>
    <col min="11522" max="11522" width="13.140625" style="10" customWidth="1"/>
    <col min="11523" max="11523" width="7.85546875" style="10" customWidth="1"/>
    <col min="11524" max="11524" width="13.7109375" style="10" customWidth="1"/>
    <col min="11525" max="11525" width="8.7109375" style="10" customWidth="1"/>
    <col min="11526" max="11526" width="7.140625" style="10" customWidth="1"/>
    <col min="11527" max="11527" width="16.85546875" style="10" customWidth="1"/>
    <col min="11528" max="11528" width="15.28515625" style="10" customWidth="1"/>
    <col min="11529" max="11529" width="9.140625" style="10"/>
    <col min="11530" max="11530" width="15.85546875" style="10" customWidth="1"/>
    <col min="11531" max="11776" width="9.140625" style="10"/>
    <col min="11777" max="11777" width="5.140625" style="10" customWidth="1"/>
    <col min="11778" max="11778" width="13.140625" style="10" customWidth="1"/>
    <col min="11779" max="11779" width="7.85546875" style="10" customWidth="1"/>
    <col min="11780" max="11780" width="13.7109375" style="10" customWidth="1"/>
    <col min="11781" max="11781" width="8.7109375" style="10" customWidth="1"/>
    <col min="11782" max="11782" width="7.140625" style="10" customWidth="1"/>
    <col min="11783" max="11783" width="16.85546875" style="10" customWidth="1"/>
    <col min="11784" max="11784" width="15.28515625" style="10" customWidth="1"/>
    <col min="11785" max="11785" width="9.140625" style="10"/>
    <col min="11786" max="11786" width="15.85546875" style="10" customWidth="1"/>
    <col min="11787" max="12032" width="9.140625" style="10"/>
    <col min="12033" max="12033" width="5.140625" style="10" customWidth="1"/>
    <col min="12034" max="12034" width="13.140625" style="10" customWidth="1"/>
    <col min="12035" max="12035" width="7.85546875" style="10" customWidth="1"/>
    <col min="12036" max="12036" width="13.7109375" style="10" customWidth="1"/>
    <col min="12037" max="12037" width="8.7109375" style="10" customWidth="1"/>
    <col min="12038" max="12038" width="7.140625" style="10" customWidth="1"/>
    <col min="12039" max="12039" width="16.85546875" style="10" customWidth="1"/>
    <col min="12040" max="12040" width="15.28515625" style="10" customWidth="1"/>
    <col min="12041" max="12041" width="9.140625" style="10"/>
    <col min="12042" max="12042" width="15.85546875" style="10" customWidth="1"/>
    <col min="12043" max="12288" width="9.140625" style="10"/>
    <col min="12289" max="12289" width="5.140625" style="10" customWidth="1"/>
    <col min="12290" max="12290" width="13.140625" style="10" customWidth="1"/>
    <col min="12291" max="12291" width="7.85546875" style="10" customWidth="1"/>
    <col min="12292" max="12292" width="13.7109375" style="10" customWidth="1"/>
    <col min="12293" max="12293" width="8.7109375" style="10" customWidth="1"/>
    <col min="12294" max="12294" width="7.140625" style="10" customWidth="1"/>
    <col min="12295" max="12295" width="16.85546875" style="10" customWidth="1"/>
    <col min="12296" max="12296" width="15.28515625" style="10" customWidth="1"/>
    <col min="12297" max="12297" width="9.140625" style="10"/>
    <col min="12298" max="12298" width="15.85546875" style="10" customWidth="1"/>
    <col min="12299" max="12544" width="9.140625" style="10"/>
    <col min="12545" max="12545" width="5.140625" style="10" customWidth="1"/>
    <col min="12546" max="12546" width="13.140625" style="10" customWidth="1"/>
    <col min="12547" max="12547" width="7.85546875" style="10" customWidth="1"/>
    <col min="12548" max="12548" width="13.7109375" style="10" customWidth="1"/>
    <col min="12549" max="12549" width="8.7109375" style="10" customWidth="1"/>
    <col min="12550" max="12550" width="7.140625" style="10" customWidth="1"/>
    <col min="12551" max="12551" width="16.85546875" style="10" customWidth="1"/>
    <col min="12552" max="12552" width="15.28515625" style="10" customWidth="1"/>
    <col min="12553" max="12553" width="9.140625" style="10"/>
    <col min="12554" max="12554" width="15.85546875" style="10" customWidth="1"/>
    <col min="12555" max="12800" width="9.140625" style="10"/>
    <col min="12801" max="12801" width="5.140625" style="10" customWidth="1"/>
    <col min="12802" max="12802" width="13.140625" style="10" customWidth="1"/>
    <col min="12803" max="12803" width="7.85546875" style="10" customWidth="1"/>
    <col min="12804" max="12804" width="13.7109375" style="10" customWidth="1"/>
    <col min="12805" max="12805" width="8.7109375" style="10" customWidth="1"/>
    <col min="12806" max="12806" width="7.140625" style="10" customWidth="1"/>
    <col min="12807" max="12807" width="16.85546875" style="10" customWidth="1"/>
    <col min="12808" max="12808" width="15.28515625" style="10" customWidth="1"/>
    <col min="12809" max="12809" width="9.140625" style="10"/>
    <col min="12810" max="12810" width="15.85546875" style="10" customWidth="1"/>
    <col min="12811" max="13056" width="9.140625" style="10"/>
    <col min="13057" max="13057" width="5.140625" style="10" customWidth="1"/>
    <col min="13058" max="13058" width="13.140625" style="10" customWidth="1"/>
    <col min="13059" max="13059" width="7.85546875" style="10" customWidth="1"/>
    <col min="13060" max="13060" width="13.7109375" style="10" customWidth="1"/>
    <col min="13061" max="13061" width="8.7109375" style="10" customWidth="1"/>
    <col min="13062" max="13062" width="7.140625" style="10" customWidth="1"/>
    <col min="13063" max="13063" width="16.85546875" style="10" customWidth="1"/>
    <col min="13064" max="13064" width="15.28515625" style="10" customWidth="1"/>
    <col min="13065" max="13065" width="9.140625" style="10"/>
    <col min="13066" max="13066" width="15.85546875" style="10" customWidth="1"/>
    <col min="13067" max="13312" width="9.140625" style="10"/>
    <col min="13313" max="13313" width="5.140625" style="10" customWidth="1"/>
    <col min="13314" max="13314" width="13.140625" style="10" customWidth="1"/>
    <col min="13315" max="13315" width="7.85546875" style="10" customWidth="1"/>
    <col min="13316" max="13316" width="13.7109375" style="10" customWidth="1"/>
    <col min="13317" max="13317" width="8.7109375" style="10" customWidth="1"/>
    <col min="13318" max="13318" width="7.140625" style="10" customWidth="1"/>
    <col min="13319" max="13319" width="16.85546875" style="10" customWidth="1"/>
    <col min="13320" max="13320" width="15.28515625" style="10" customWidth="1"/>
    <col min="13321" max="13321" width="9.140625" style="10"/>
    <col min="13322" max="13322" width="15.85546875" style="10" customWidth="1"/>
    <col min="13323" max="13568" width="9.140625" style="10"/>
    <col min="13569" max="13569" width="5.140625" style="10" customWidth="1"/>
    <col min="13570" max="13570" width="13.140625" style="10" customWidth="1"/>
    <col min="13571" max="13571" width="7.85546875" style="10" customWidth="1"/>
    <col min="13572" max="13572" width="13.7109375" style="10" customWidth="1"/>
    <col min="13573" max="13573" width="8.7109375" style="10" customWidth="1"/>
    <col min="13574" max="13574" width="7.140625" style="10" customWidth="1"/>
    <col min="13575" max="13575" width="16.85546875" style="10" customWidth="1"/>
    <col min="13576" max="13576" width="15.28515625" style="10" customWidth="1"/>
    <col min="13577" max="13577" width="9.140625" style="10"/>
    <col min="13578" max="13578" width="15.85546875" style="10" customWidth="1"/>
    <col min="13579" max="13824" width="9.140625" style="10"/>
    <col min="13825" max="13825" width="5.140625" style="10" customWidth="1"/>
    <col min="13826" max="13826" width="13.140625" style="10" customWidth="1"/>
    <col min="13827" max="13827" width="7.85546875" style="10" customWidth="1"/>
    <col min="13828" max="13828" width="13.7109375" style="10" customWidth="1"/>
    <col min="13829" max="13829" width="8.7109375" style="10" customWidth="1"/>
    <col min="13830" max="13830" width="7.140625" style="10" customWidth="1"/>
    <col min="13831" max="13831" width="16.85546875" style="10" customWidth="1"/>
    <col min="13832" max="13832" width="15.28515625" style="10" customWidth="1"/>
    <col min="13833" max="13833" width="9.140625" style="10"/>
    <col min="13834" max="13834" width="15.85546875" style="10" customWidth="1"/>
    <col min="13835" max="14080" width="9.140625" style="10"/>
    <col min="14081" max="14081" width="5.140625" style="10" customWidth="1"/>
    <col min="14082" max="14082" width="13.140625" style="10" customWidth="1"/>
    <col min="14083" max="14083" width="7.85546875" style="10" customWidth="1"/>
    <col min="14084" max="14084" width="13.7109375" style="10" customWidth="1"/>
    <col min="14085" max="14085" width="8.7109375" style="10" customWidth="1"/>
    <col min="14086" max="14086" width="7.140625" style="10" customWidth="1"/>
    <col min="14087" max="14087" width="16.85546875" style="10" customWidth="1"/>
    <col min="14088" max="14088" width="15.28515625" style="10" customWidth="1"/>
    <col min="14089" max="14089" width="9.140625" style="10"/>
    <col min="14090" max="14090" width="15.85546875" style="10" customWidth="1"/>
    <col min="14091" max="14336" width="9.140625" style="10"/>
    <col min="14337" max="14337" width="5.140625" style="10" customWidth="1"/>
    <col min="14338" max="14338" width="13.140625" style="10" customWidth="1"/>
    <col min="14339" max="14339" width="7.85546875" style="10" customWidth="1"/>
    <col min="14340" max="14340" width="13.7109375" style="10" customWidth="1"/>
    <col min="14341" max="14341" width="8.7109375" style="10" customWidth="1"/>
    <col min="14342" max="14342" width="7.140625" style="10" customWidth="1"/>
    <col min="14343" max="14343" width="16.85546875" style="10" customWidth="1"/>
    <col min="14344" max="14344" width="15.28515625" style="10" customWidth="1"/>
    <col min="14345" max="14345" width="9.140625" style="10"/>
    <col min="14346" max="14346" width="15.85546875" style="10" customWidth="1"/>
    <col min="14347" max="14592" width="9.140625" style="10"/>
    <col min="14593" max="14593" width="5.140625" style="10" customWidth="1"/>
    <col min="14594" max="14594" width="13.140625" style="10" customWidth="1"/>
    <col min="14595" max="14595" width="7.85546875" style="10" customWidth="1"/>
    <col min="14596" max="14596" width="13.7109375" style="10" customWidth="1"/>
    <col min="14597" max="14597" width="8.7109375" style="10" customWidth="1"/>
    <col min="14598" max="14598" width="7.140625" style="10" customWidth="1"/>
    <col min="14599" max="14599" width="16.85546875" style="10" customWidth="1"/>
    <col min="14600" max="14600" width="15.28515625" style="10" customWidth="1"/>
    <col min="14601" max="14601" width="9.140625" style="10"/>
    <col min="14602" max="14602" width="15.85546875" style="10" customWidth="1"/>
    <col min="14603" max="14848" width="9.140625" style="10"/>
    <col min="14849" max="14849" width="5.140625" style="10" customWidth="1"/>
    <col min="14850" max="14850" width="13.140625" style="10" customWidth="1"/>
    <col min="14851" max="14851" width="7.85546875" style="10" customWidth="1"/>
    <col min="14852" max="14852" width="13.7109375" style="10" customWidth="1"/>
    <col min="14853" max="14853" width="8.7109375" style="10" customWidth="1"/>
    <col min="14854" max="14854" width="7.140625" style="10" customWidth="1"/>
    <col min="14855" max="14855" width="16.85546875" style="10" customWidth="1"/>
    <col min="14856" max="14856" width="15.28515625" style="10" customWidth="1"/>
    <col min="14857" max="14857" width="9.140625" style="10"/>
    <col min="14858" max="14858" width="15.85546875" style="10" customWidth="1"/>
    <col min="14859" max="15104" width="9.140625" style="10"/>
    <col min="15105" max="15105" width="5.140625" style="10" customWidth="1"/>
    <col min="15106" max="15106" width="13.140625" style="10" customWidth="1"/>
    <col min="15107" max="15107" width="7.85546875" style="10" customWidth="1"/>
    <col min="15108" max="15108" width="13.7109375" style="10" customWidth="1"/>
    <col min="15109" max="15109" width="8.7109375" style="10" customWidth="1"/>
    <col min="15110" max="15110" width="7.140625" style="10" customWidth="1"/>
    <col min="15111" max="15111" width="16.85546875" style="10" customWidth="1"/>
    <col min="15112" max="15112" width="15.28515625" style="10" customWidth="1"/>
    <col min="15113" max="15113" width="9.140625" style="10"/>
    <col min="15114" max="15114" width="15.85546875" style="10" customWidth="1"/>
    <col min="15115" max="15360" width="9.140625" style="10"/>
    <col min="15361" max="15361" width="5.140625" style="10" customWidth="1"/>
    <col min="15362" max="15362" width="13.140625" style="10" customWidth="1"/>
    <col min="15363" max="15363" width="7.85546875" style="10" customWidth="1"/>
    <col min="15364" max="15364" width="13.7109375" style="10" customWidth="1"/>
    <col min="15365" max="15365" width="8.7109375" style="10" customWidth="1"/>
    <col min="15366" max="15366" width="7.140625" style="10" customWidth="1"/>
    <col min="15367" max="15367" width="16.85546875" style="10" customWidth="1"/>
    <col min="15368" max="15368" width="15.28515625" style="10" customWidth="1"/>
    <col min="15369" max="15369" width="9.140625" style="10"/>
    <col min="15370" max="15370" width="15.85546875" style="10" customWidth="1"/>
    <col min="15371" max="15616" width="9.140625" style="10"/>
    <col min="15617" max="15617" width="5.140625" style="10" customWidth="1"/>
    <col min="15618" max="15618" width="13.140625" style="10" customWidth="1"/>
    <col min="15619" max="15619" width="7.85546875" style="10" customWidth="1"/>
    <col min="15620" max="15620" width="13.7109375" style="10" customWidth="1"/>
    <col min="15621" max="15621" width="8.7109375" style="10" customWidth="1"/>
    <col min="15622" max="15622" width="7.140625" style="10" customWidth="1"/>
    <col min="15623" max="15623" width="16.85546875" style="10" customWidth="1"/>
    <col min="15624" max="15624" width="15.28515625" style="10" customWidth="1"/>
    <col min="15625" max="15625" width="9.140625" style="10"/>
    <col min="15626" max="15626" width="15.85546875" style="10" customWidth="1"/>
    <col min="15627" max="15872" width="9.140625" style="10"/>
    <col min="15873" max="15873" width="5.140625" style="10" customWidth="1"/>
    <col min="15874" max="15874" width="13.140625" style="10" customWidth="1"/>
    <col min="15875" max="15875" width="7.85546875" style="10" customWidth="1"/>
    <col min="15876" max="15876" width="13.7109375" style="10" customWidth="1"/>
    <col min="15877" max="15877" width="8.7109375" style="10" customWidth="1"/>
    <col min="15878" max="15878" width="7.140625" style="10" customWidth="1"/>
    <col min="15879" max="15879" width="16.85546875" style="10" customWidth="1"/>
    <col min="15880" max="15880" width="15.28515625" style="10" customWidth="1"/>
    <col min="15881" max="15881" width="9.140625" style="10"/>
    <col min="15882" max="15882" width="15.85546875" style="10" customWidth="1"/>
    <col min="15883" max="16128" width="9.140625" style="10"/>
    <col min="16129" max="16129" width="5.140625" style="10" customWidth="1"/>
    <col min="16130" max="16130" width="13.140625" style="10" customWidth="1"/>
    <col min="16131" max="16131" width="7.85546875" style="10" customWidth="1"/>
    <col min="16132" max="16132" width="13.7109375" style="10" customWidth="1"/>
    <col min="16133" max="16133" width="8.7109375" style="10" customWidth="1"/>
    <col min="16134" max="16134" width="7.140625" style="10" customWidth="1"/>
    <col min="16135" max="16135" width="16.85546875" style="10" customWidth="1"/>
    <col min="16136" max="16136" width="15.28515625" style="10" customWidth="1"/>
    <col min="16137" max="16137" width="9.140625" style="10"/>
    <col min="16138" max="16138" width="15.85546875" style="10" customWidth="1"/>
    <col min="16139" max="16384" width="9.140625" style="10"/>
  </cols>
  <sheetData>
    <row r="1" spans="1:10">
      <c r="C1" s="346" t="s">
        <v>100</v>
      </c>
      <c r="D1" s="346"/>
      <c r="E1" s="346"/>
      <c r="F1" s="346"/>
      <c r="G1" s="346"/>
      <c r="H1" s="346"/>
    </row>
    <row r="2" spans="1:10">
      <c r="C2" s="346"/>
      <c r="D2" s="346"/>
      <c r="E2" s="346"/>
      <c r="F2" s="346"/>
      <c r="G2" s="346"/>
      <c r="H2" s="346"/>
    </row>
    <row r="3" spans="1:10" ht="18" customHeight="1">
      <c r="A3" s="347" t="s">
        <v>101</v>
      </c>
      <c r="B3" s="348"/>
      <c r="H3" s="124" t="s">
        <v>251</v>
      </c>
      <c r="I3" s="126">
        <v>115</v>
      </c>
      <c r="J3" s="142"/>
    </row>
    <row r="4" spans="1:10" ht="15" customHeight="1">
      <c r="A4" s="324" t="s">
        <v>102</v>
      </c>
      <c r="B4" s="325"/>
      <c r="C4" s="349" t="s">
        <v>103</v>
      </c>
      <c r="D4" s="350"/>
      <c r="E4" s="350"/>
      <c r="F4" s="351"/>
      <c r="G4" s="191">
        <v>1312450</v>
      </c>
      <c r="H4" s="302" t="s">
        <v>104</v>
      </c>
      <c r="I4" s="300" t="str">
        <f>建船資料檔!B13</f>
        <v>115/7/27</v>
      </c>
      <c r="J4" s="161"/>
    </row>
    <row r="5" spans="1:10" ht="15" customHeight="1">
      <c r="A5" s="328"/>
      <c r="B5" s="329"/>
      <c r="C5" s="352"/>
      <c r="D5" s="353"/>
      <c r="E5" s="353"/>
      <c r="F5" s="354"/>
      <c r="G5" s="215"/>
      <c r="H5" s="304"/>
      <c r="I5" s="301"/>
      <c r="J5" s="161"/>
    </row>
    <row r="6" spans="1:10" ht="15" customHeight="1">
      <c r="A6" s="312" t="s">
        <v>105</v>
      </c>
      <c r="B6" s="313"/>
      <c r="C6" s="318" t="s">
        <v>264</v>
      </c>
      <c r="D6" s="319"/>
      <c r="E6" s="324" t="s">
        <v>106</v>
      </c>
      <c r="F6" s="325"/>
      <c r="G6" s="330" t="str">
        <f>進口艙單印1份!L3</f>
        <v>15PAHD</v>
      </c>
      <c r="H6" s="302" t="s">
        <v>107</v>
      </c>
      <c r="I6" s="302" t="s">
        <v>108</v>
      </c>
      <c r="J6" s="162"/>
    </row>
    <row r="7" spans="1:10" ht="15" customHeight="1">
      <c r="A7" s="314"/>
      <c r="B7" s="315"/>
      <c r="C7" s="320"/>
      <c r="D7" s="321"/>
      <c r="E7" s="326"/>
      <c r="F7" s="327"/>
      <c r="G7" s="331"/>
      <c r="H7" s="303"/>
      <c r="I7" s="303"/>
      <c r="J7" s="162"/>
    </row>
    <row r="8" spans="1:10" ht="15" customHeight="1">
      <c r="A8" s="314"/>
      <c r="B8" s="315"/>
      <c r="C8" s="320"/>
      <c r="D8" s="321"/>
      <c r="E8" s="326"/>
      <c r="F8" s="327"/>
      <c r="G8" s="331"/>
      <c r="H8" s="303"/>
      <c r="I8" s="303"/>
      <c r="J8" s="162"/>
    </row>
    <row r="9" spans="1:10" ht="15" customHeight="1">
      <c r="A9" s="316"/>
      <c r="B9" s="317"/>
      <c r="C9" s="322"/>
      <c r="D9" s="323"/>
      <c r="E9" s="328"/>
      <c r="F9" s="329"/>
      <c r="G9" s="332"/>
      <c r="H9" s="304"/>
      <c r="I9" s="304"/>
      <c r="J9" s="162"/>
    </row>
    <row r="10" spans="1:10" ht="15" customHeight="1">
      <c r="A10" s="312" t="s">
        <v>110</v>
      </c>
      <c r="B10" s="313"/>
      <c r="C10" s="345" t="s">
        <v>247</v>
      </c>
      <c r="D10" s="319"/>
      <c r="E10" s="133" t="s">
        <v>111</v>
      </c>
      <c r="F10" s="134"/>
      <c r="G10" s="364" t="str">
        <f>I4</f>
        <v>115/7/27</v>
      </c>
      <c r="H10" s="302" t="s">
        <v>112</v>
      </c>
      <c r="I10" s="302" t="s">
        <v>113</v>
      </c>
      <c r="J10" s="162"/>
    </row>
    <row r="11" spans="1:10" ht="15" customHeight="1">
      <c r="A11" s="314"/>
      <c r="B11" s="315"/>
      <c r="C11" s="320"/>
      <c r="D11" s="321"/>
      <c r="E11" s="326" t="s">
        <v>134</v>
      </c>
      <c r="F11" s="327"/>
      <c r="G11" s="365"/>
      <c r="H11" s="303"/>
      <c r="I11" s="303"/>
      <c r="J11" s="162"/>
    </row>
    <row r="12" spans="1:10" ht="15" customHeight="1">
      <c r="A12" s="314"/>
      <c r="B12" s="315"/>
      <c r="C12" s="320"/>
      <c r="D12" s="321"/>
      <c r="E12" s="326"/>
      <c r="F12" s="327"/>
      <c r="G12" s="365"/>
      <c r="H12" s="303"/>
      <c r="I12" s="303"/>
      <c r="J12" s="162"/>
    </row>
    <row r="13" spans="1:10" ht="15" customHeight="1">
      <c r="A13" s="316"/>
      <c r="B13" s="317"/>
      <c r="C13" s="322"/>
      <c r="D13" s="323"/>
      <c r="E13" s="135" t="s">
        <v>114</v>
      </c>
      <c r="F13" s="136"/>
      <c r="G13" s="301"/>
      <c r="H13" s="304"/>
      <c r="I13" s="304"/>
      <c r="J13" s="162"/>
    </row>
    <row r="14" spans="1:10" ht="18" customHeight="1">
      <c r="A14" s="333" t="s">
        <v>115</v>
      </c>
      <c r="B14" s="336" t="s">
        <v>116</v>
      </c>
      <c r="C14" s="133" t="s">
        <v>117</v>
      </c>
      <c r="D14" s="134"/>
      <c r="E14" s="339" t="s">
        <v>243</v>
      </c>
      <c r="F14" s="340"/>
      <c r="G14" s="355" t="s">
        <v>236</v>
      </c>
      <c r="H14" s="356"/>
      <c r="I14" s="357"/>
      <c r="J14" s="151"/>
    </row>
    <row r="15" spans="1:10" ht="18" customHeight="1">
      <c r="A15" s="334"/>
      <c r="B15" s="337"/>
      <c r="C15" s="138" t="s">
        <v>118</v>
      </c>
      <c r="D15" s="139"/>
      <c r="E15" s="341"/>
      <c r="F15" s="342"/>
      <c r="G15" s="358" t="s">
        <v>237</v>
      </c>
      <c r="H15" s="359"/>
      <c r="I15" s="360"/>
      <c r="J15" s="151"/>
    </row>
    <row r="16" spans="1:10" ht="18" customHeight="1">
      <c r="A16" s="334"/>
      <c r="B16" s="337"/>
      <c r="C16" s="138" t="s">
        <v>119</v>
      </c>
      <c r="D16" s="139"/>
      <c r="E16" s="341"/>
      <c r="F16" s="342"/>
      <c r="G16" s="358" t="s">
        <v>238</v>
      </c>
      <c r="H16" s="359"/>
      <c r="I16" s="360"/>
      <c r="J16" s="151"/>
    </row>
    <row r="17" spans="1:12" ht="18" customHeight="1">
      <c r="A17" s="334"/>
      <c r="B17" s="337"/>
      <c r="C17" s="138" t="s">
        <v>120</v>
      </c>
      <c r="D17" s="139"/>
      <c r="E17" s="341"/>
      <c r="F17" s="342"/>
      <c r="G17" s="358" t="s">
        <v>239</v>
      </c>
      <c r="H17" s="359"/>
      <c r="I17" s="360"/>
      <c r="J17" s="151"/>
      <c r="L17" s="12"/>
    </row>
    <row r="18" spans="1:12" ht="18" customHeight="1">
      <c r="A18" s="334"/>
      <c r="B18" s="337"/>
      <c r="C18" s="138" t="s">
        <v>121</v>
      </c>
      <c r="D18" s="139"/>
      <c r="E18" s="341"/>
      <c r="F18" s="342"/>
      <c r="G18" s="358" t="s">
        <v>240</v>
      </c>
      <c r="H18" s="359"/>
      <c r="I18" s="360"/>
      <c r="J18" s="151"/>
    </row>
    <row r="19" spans="1:12" ht="18" customHeight="1">
      <c r="A19" s="335"/>
      <c r="B19" s="338"/>
      <c r="C19" s="135"/>
      <c r="D19" s="136"/>
      <c r="E19" s="343"/>
      <c r="F19" s="344"/>
      <c r="G19" s="361" t="s">
        <v>245</v>
      </c>
      <c r="H19" s="362"/>
      <c r="I19" s="363"/>
      <c r="J19" s="151"/>
    </row>
    <row r="20" spans="1:12" ht="18" customHeight="1">
      <c r="A20" s="369" t="s">
        <v>122</v>
      </c>
      <c r="B20" s="370"/>
      <c r="C20" s="324" t="s">
        <v>123</v>
      </c>
      <c r="D20" s="371"/>
      <c r="E20" s="325"/>
      <c r="F20" s="324" t="s">
        <v>190</v>
      </c>
      <c r="G20" s="325"/>
      <c r="H20" s="375" t="s">
        <v>189</v>
      </c>
      <c r="I20" s="302" t="s">
        <v>143</v>
      </c>
      <c r="J20" s="162"/>
    </row>
    <row r="21" spans="1:12" ht="18" customHeight="1">
      <c r="A21" s="373" t="s">
        <v>124</v>
      </c>
      <c r="B21" s="374"/>
      <c r="C21" s="328"/>
      <c r="D21" s="372"/>
      <c r="E21" s="329"/>
      <c r="F21" s="328"/>
      <c r="G21" s="329"/>
      <c r="H21" s="376"/>
      <c r="I21" s="304"/>
      <c r="J21" s="162"/>
    </row>
    <row r="22" spans="1:12" s="45" customFormat="1" ht="21" customHeight="1">
      <c r="A22" s="307" t="str">
        <f>進口艙單印1份!B16</f>
        <v>5501</v>
      </c>
      <c r="B22" s="308"/>
      <c r="C22" s="309" t="str">
        <f>進口艙單印1份!T16</f>
        <v>EXPRESS PACKAGE</v>
      </c>
      <c r="D22" s="310"/>
      <c r="E22" s="311"/>
      <c r="F22" s="305" t="str">
        <f>進口艙單印1份!C16&amp;進口艙單印1份!D16</f>
        <v>1599PKG</v>
      </c>
      <c r="G22" s="306"/>
      <c r="H22" s="216">
        <f>進口艙單印1份!I16</f>
        <v>7137</v>
      </c>
      <c r="I22" s="145" t="str">
        <f>進口艙單印1份!E16</f>
        <v>TCNU9125529</v>
      </c>
      <c r="J22" s="163"/>
    </row>
    <row r="23" spans="1:12" ht="18" customHeight="1">
      <c r="A23" s="366" t="s">
        <v>125</v>
      </c>
      <c r="B23" s="367"/>
      <c r="C23" s="367"/>
      <c r="D23" s="367"/>
      <c r="E23" s="367"/>
      <c r="F23" s="367"/>
      <c r="G23" s="367"/>
      <c r="H23" s="368"/>
      <c r="I23" s="159" t="s">
        <v>241</v>
      </c>
      <c r="J23" s="151"/>
    </row>
    <row r="24" spans="1:12" ht="17.25">
      <c r="A24" s="138"/>
      <c r="B24" s="140"/>
      <c r="C24" s="140"/>
      <c r="D24" s="140"/>
      <c r="E24" s="140"/>
      <c r="F24" s="140"/>
      <c r="G24" s="140"/>
      <c r="H24" s="139"/>
      <c r="I24" s="165"/>
      <c r="J24" s="140"/>
    </row>
    <row r="25" spans="1:12" ht="21" customHeight="1">
      <c r="A25" s="138"/>
      <c r="B25" s="140"/>
      <c r="C25" s="140"/>
      <c r="D25" s="140"/>
      <c r="E25" s="140"/>
      <c r="F25" s="140"/>
      <c r="G25" s="140"/>
      <c r="H25" s="139"/>
      <c r="I25" s="143"/>
      <c r="J25" s="140"/>
    </row>
    <row r="26" spans="1:12" ht="21" customHeight="1">
      <c r="A26" s="138"/>
      <c r="B26" s="140"/>
      <c r="C26" s="140"/>
      <c r="D26" s="140"/>
      <c r="E26" s="140"/>
      <c r="F26" s="140"/>
      <c r="G26" s="140"/>
      <c r="H26" s="139"/>
      <c r="I26" s="143"/>
      <c r="J26" s="140"/>
    </row>
    <row r="27" spans="1:12" ht="21" customHeight="1">
      <c r="A27" s="138"/>
      <c r="B27" s="140"/>
      <c r="C27" s="140"/>
      <c r="D27" s="140"/>
      <c r="E27" s="140"/>
      <c r="F27" s="140"/>
      <c r="G27" s="140"/>
      <c r="H27" s="139"/>
      <c r="I27" s="143"/>
      <c r="J27" s="140"/>
    </row>
    <row r="28" spans="1:12" ht="21" customHeight="1">
      <c r="A28" s="135"/>
      <c r="B28" s="132"/>
      <c r="C28" s="132"/>
      <c r="D28" s="132"/>
      <c r="E28" s="132"/>
      <c r="F28" s="132"/>
      <c r="G28" s="132"/>
      <c r="H28" s="136"/>
      <c r="I28" s="143"/>
      <c r="J28" s="140"/>
    </row>
    <row r="29" spans="1:12" ht="18" customHeight="1">
      <c r="A29" s="117" t="s">
        <v>242</v>
      </c>
      <c r="B29" s="113"/>
      <c r="C29" s="114"/>
      <c r="D29" s="113"/>
      <c r="E29" s="114"/>
      <c r="F29" s="114"/>
      <c r="G29" s="115"/>
      <c r="H29" s="118"/>
      <c r="I29" s="166"/>
      <c r="J29" s="140"/>
    </row>
    <row r="30" spans="1:12" ht="3" customHeight="1">
      <c r="A30" s="13"/>
      <c r="B30" s="14"/>
      <c r="C30" s="15"/>
      <c r="D30" s="14"/>
      <c r="E30" s="15"/>
      <c r="F30" s="15"/>
      <c r="G30" s="13"/>
      <c r="H30" s="15"/>
      <c r="I30" s="14"/>
      <c r="J30" s="141"/>
    </row>
    <row r="31" spans="1:12" ht="19.5">
      <c r="A31" s="15"/>
      <c r="B31" s="16"/>
      <c r="C31" s="16"/>
      <c r="D31" s="16"/>
      <c r="E31" s="16"/>
      <c r="F31" s="16"/>
      <c r="G31" s="16"/>
      <c r="H31" s="16"/>
      <c r="I31" s="16"/>
      <c r="J31" s="141"/>
    </row>
    <row r="32" spans="1:12" ht="19.5">
      <c r="A32" s="15"/>
      <c r="B32" s="16"/>
      <c r="C32" s="16"/>
      <c r="D32" s="16"/>
      <c r="E32" s="16"/>
      <c r="F32" s="16"/>
      <c r="G32" s="16"/>
      <c r="H32" s="16"/>
      <c r="I32" s="16"/>
      <c r="J32" s="141"/>
    </row>
    <row r="33" spans="1:10" ht="19.5">
      <c r="A33" s="15"/>
      <c r="B33" s="16"/>
      <c r="C33" s="16"/>
      <c r="D33" s="16"/>
      <c r="E33" s="16"/>
      <c r="F33" s="16"/>
      <c r="G33" s="16"/>
      <c r="H33" s="16"/>
      <c r="I33" s="16"/>
      <c r="J33" s="141"/>
    </row>
    <row r="34" spans="1:10" ht="19.5">
      <c r="A34" s="15"/>
      <c r="B34" s="16"/>
      <c r="C34" s="16"/>
      <c r="D34" s="16"/>
      <c r="E34" s="16"/>
      <c r="F34" s="16"/>
      <c r="G34" s="16"/>
      <c r="H34" s="16"/>
      <c r="I34" s="16"/>
      <c r="J34" s="141"/>
    </row>
    <row r="35" spans="1:10" ht="19.5">
      <c r="A35" s="16"/>
      <c r="B35" s="16"/>
      <c r="C35" s="16"/>
      <c r="D35" s="16"/>
      <c r="E35" s="16"/>
      <c r="F35" s="16"/>
      <c r="G35" s="16"/>
      <c r="H35" s="16"/>
      <c r="I35" s="16"/>
      <c r="J35" s="141"/>
    </row>
    <row r="36" spans="1:10" ht="19.5">
      <c r="A36" s="16"/>
      <c r="B36" s="16"/>
      <c r="C36" s="16"/>
      <c r="D36" s="16"/>
      <c r="E36" s="16"/>
      <c r="F36" s="16"/>
      <c r="G36" s="16"/>
      <c r="H36" s="16"/>
      <c r="I36" s="16"/>
      <c r="J36" s="141"/>
    </row>
  </sheetData>
  <mergeCells count="37">
    <mergeCell ref="A23:H23"/>
    <mergeCell ref="A20:B20"/>
    <mergeCell ref="C20:E21"/>
    <mergeCell ref="A21:B21"/>
    <mergeCell ref="E11:F12"/>
    <mergeCell ref="F20:G21"/>
    <mergeCell ref="H20:H21"/>
    <mergeCell ref="I10:I13"/>
    <mergeCell ref="I20:I21"/>
    <mergeCell ref="G14:I14"/>
    <mergeCell ref="G15:I15"/>
    <mergeCell ref="G16:I16"/>
    <mergeCell ref="G17:I17"/>
    <mergeCell ref="G18:I18"/>
    <mergeCell ref="G19:I19"/>
    <mergeCell ref="G10:G13"/>
    <mergeCell ref="C1:H2"/>
    <mergeCell ref="A3:B3"/>
    <mergeCell ref="A4:B5"/>
    <mergeCell ref="C4:F5"/>
    <mergeCell ref="H4:H5"/>
    <mergeCell ref="I4:I5"/>
    <mergeCell ref="I6:I9"/>
    <mergeCell ref="F22:G22"/>
    <mergeCell ref="A22:B22"/>
    <mergeCell ref="C22:E22"/>
    <mergeCell ref="A6:B9"/>
    <mergeCell ref="C6:D9"/>
    <mergeCell ref="E6:F9"/>
    <mergeCell ref="G6:G9"/>
    <mergeCell ref="H6:H9"/>
    <mergeCell ref="A14:A19"/>
    <mergeCell ref="B14:B19"/>
    <mergeCell ref="E14:F19"/>
    <mergeCell ref="A10:B13"/>
    <mergeCell ref="C10:D13"/>
    <mergeCell ref="H10:H13"/>
  </mergeCells>
  <phoneticPr fontId="14" type="noConversion"/>
  <printOptions horizontalCentered="1"/>
  <pageMargins left="0.39370078740157483" right="0.39370078740157483" top="0.72" bottom="0.27559055118110237" header="0.35433070866141736" footer="0.35433070866141736"/>
  <pageSetup paperSize="9" scale="8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8"/>
  <sheetViews>
    <sheetView view="pageBreakPreview" zoomScaleNormal="100" zoomScaleSheetLayoutView="100" workbookViewId="0">
      <selection activeCell="A22" sqref="A22:B22"/>
    </sheetView>
  </sheetViews>
  <sheetFormatPr defaultRowHeight="16.5"/>
  <cols>
    <col min="1" max="1" width="3.7109375" style="10" customWidth="1"/>
    <col min="2" max="2" width="14.7109375" style="10" customWidth="1"/>
    <col min="3" max="3" width="12.7109375" style="10" customWidth="1"/>
    <col min="4" max="5" width="8.7109375" style="10" customWidth="1"/>
    <col min="6" max="6" width="10.7109375" style="10" customWidth="1"/>
    <col min="7" max="7" width="20.7109375" style="10" customWidth="1"/>
    <col min="8" max="8" width="18.7109375" style="10" customWidth="1"/>
    <col min="9" max="9" width="25.7109375" style="10" customWidth="1"/>
    <col min="10" max="10" width="11.42578125" style="10" customWidth="1"/>
    <col min="11" max="11" width="5.85546875" style="10" customWidth="1"/>
    <col min="12" max="256" width="9.140625" style="10"/>
    <col min="257" max="257" width="5.140625" style="10" customWidth="1"/>
    <col min="258" max="258" width="11.28515625" style="10" customWidth="1"/>
    <col min="259" max="259" width="12.42578125" style="10" customWidth="1"/>
    <col min="260" max="261" width="8.42578125" style="10" customWidth="1"/>
    <col min="262" max="262" width="10.5703125" style="10" customWidth="1"/>
    <col min="263" max="263" width="19.28515625" style="10" customWidth="1"/>
    <col min="264" max="264" width="16.140625" style="10" customWidth="1"/>
    <col min="265" max="265" width="25.5703125" style="10" customWidth="1"/>
    <col min="266" max="266" width="0" style="10" hidden="1" customWidth="1"/>
    <col min="267" max="267" width="5.85546875" style="10" customWidth="1"/>
    <col min="268" max="512" width="9.140625" style="10"/>
    <col min="513" max="513" width="5.140625" style="10" customWidth="1"/>
    <col min="514" max="514" width="11.28515625" style="10" customWidth="1"/>
    <col min="515" max="515" width="12.42578125" style="10" customWidth="1"/>
    <col min="516" max="517" width="8.42578125" style="10" customWidth="1"/>
    <col min="518" max="518" width="10.5703125" style="10" customWidth="1"/>
    <col min="519" max="519" width="19.28515625" style="10" customWidth="1"/>
    <col min="520" max="520" width="16.140625" style="10" customWidth="1"/>
    <col min="521" max="521" width="25.5703125" style="10" customWidth="1"/>
    <col min="522" max="522" width="0" style="10" hidden="1" customWidth="1"/>
    <col min="523" max="523" width="5.85546875" style="10" customWidth="1"/>
    <col min="524" max="768" width="9.140625" style="10"/>
    <col min="769" max="769" width="5.140625" style="10" customWidth="1"/>
    <col min="770" max="770" width="11.28515625" style="10" customWidth="1"/>
    <col min="771" max="771" width="12.42578125" style="10" customWidth="1"/>
    <col min="772" max="773" width="8.42578125" style="10" customWidth="1"/>
    <col min="774" max="774" width="10.5703125" style="10" customWidth="1"/>
    <col min="775" max="775" width="19.28515625" style="10" customWidth="1"/>
    <col min="776" max="776" width="16.140625" style="10" customWidth="1"/>
    <col min="777" max="777" width="25.5703125" style="10" customWidth="1"/>
    <col min="778" max="778" width="0" style="10" hidden="1" customWidth="1"/>
    <col min="779" max="779" width="5.85546875" style="10" customWidth="1"/>
    <col min="780" max="1024" width="9.140625" style="10"/>
    <col min="1025" max="1025" width="5.140625" style="10" customWidth="1"/>
    <col min="1026" max="1026" width="11.28515625" style="10" customWidth="1"/>
    <col min="1027" max="1027" width="12.42578125" style="10" customWidth="1"/>
    <col min="1028" max="1029" width="8.42578125" style="10" customWidth="1"/>
    <col min="1030" max="1030" width="10.5703125" style="10" customWidth="1"/>
    <col min="1031" max="1031" width="19.28515625" style="10" customWidth="1"/>
    <col min="1032" max="1032" width="16.140625" style="10" customWidth="1"/>
    <col min="1033" max="1033" width="25.5703125" style="10" customWidth="1"/>
    <col min="1034" max="1034" width="0" style="10" hidden="1" customWidth="1"/>
    <col min="1035" max="1035" width="5.85546875" style="10" customWidth="1"/>
    <col min="1036" max="1280" width="9.140625" style="10"/>
    <col min="1281" max="1281" width="5.140625" style="10" customWidth="1"/>
    <col min="1282" max="1282" width="11.28515625" style="10" customWidth="1"/>
    <col min="1283" max="1283" width="12.42578125" style="10" customWidth="1"/>
    <col min="1284" max="1285" width="8.42578125" style="10" customWidth="1"/>
    <col min="1286" max="1286" width="10.5703125" style="10" customWidth="1"/>
    <col min="1287" max="1287" width="19.28515625" style="10" customWidth="1"/>
    <col min="1288" max="1288" width="16.140625" style="10" customWidth="1"/>
    <col min="1289" max="1289" width="25.5703125" style="10" customWidth="1"/>
    <col min="1290" max="1290" width="0" style="10" hidden="1" customWidth="1"/>
    <col min="1291" max="1291" width="5.85546875" style="10" customWidth="1"/>
    <col min="1292" max="1536" width="9.140625" style="10"/>
    <col min="1537" max="1537" width="5.140625" style="10" customWidth="1"/>
    <col min="1538" max="1538" width="11.28515625" style="10" customWidth="1"/>
    <col min="1539" max="1539" width="12.42578125" style="10" customWidth="1"/>
    <col min="1540" max="1541" width="8.42578125" style="10" customWidth="1"/>
    <col min="1542" max="1542" width="10.5703125" style="10" customWidth="1"/>
    <col min="1543" max="1543" width="19.28515625" style="10" customWidth="1"/>
    <col min="1544" max="1544" width="16.140625" style="10" customWidth="1"/>
    <col min="1545" max="1545" width="25.5703125" style="10" customWidth="1"/>
    <col min="1546" max="1546" width="0" style="10" hidden="1" customWidth="1"/>
    <col min="1547" max="1547" width="5.85546875" style="10" customWidth="1"/>
    <col min="1548" max="1792" width="9.140625" style="10"/>
    <col min="1793" max="1793" width="5.140625" style="10" customWidth="1"/>
    <col min="1794" max="1794" width="11.28515625" style="10" customWidth="1"/>
    <col min="1795" max="1795" width="12.42578125" style="10" customWidth="1"/>
    <col min="1796" max="1797" width="8.42578125" style="10" customWidth="1"/>
    <col min="1798" max="1798" width="10.5703125" style="10" customWidth="1"/>
    <col min="1799" max="1799" width="19.28515625" style="10" customWidth="1"/>
    <col min="1800" max="1800" width="16.140625" style="10" customWidth="1"/>
    <col min="1801" max="1801" width="25.5703125" style="10" customWidth="1"/>
    <col min="1802" max="1802" width="0" style="10" hidden="1" customWidth="1"/>
    <col min="1803" max="1803" width="5.85546875" style="10" customWidth="1"/>
    <col min="1804" max="2048" width="9.140625" style="10"/>
    <col min="2049" max="2049" width="5.140625" style="10" customWidth="1"/>
    <col min="2050" max="2050" width="11.28515625" style="10" customWidth="1"/>
    <col min="2051" max="2051" width="12.42578125" style="10" customWidth="1"/>
    <col min="2052" max="2053" width="8.42578125" style="10" customWidth="1"/>
    <col min="2054" max="2054" width="10.5703125" style="10" customWidth="1"/>
    <col min="2055" max="2055" width="19.28515625" style="10" customWidth="1"/>
    <col min="2056" max="2056" width="16.140625" style="10" customWidth="1"/>
    <col min="2057" max="2057" width="25.5703125" style="10" customWidth="1"/>
    <col min="2058" max="2058" width="0" style="10" hidden="1" customWidth="1"/>
    <col min="2059" max="2059" width="5.85546875" style="10" customWidth="1"/>
    <col min="2060" max="2304" width="9.140625" style="10"/>
    <col min="2305" max="2305" width="5.140625" style="10" customWidth="1"/>
    <col min="2306" max="2306" width="11.28515625" style="10" customWidth="1"/>
    <col min="2307" max="2307" width="12.42578125" style="10" customWidth="1"/>
    <col min="2308" max="2309" width="8.42578125" style="10" customWidth="1"/>
    <col min="2310" max="2310" width="10.5703125" style="10" customWidth="1"/>
    <col min="2311" max="2311" width="19.28515625" style="10" customWidth="1"/>
    <col min="2312" max="2312" width="16.140625" style="10" customWidth="1"/>
    <col min="2313" max="2313" width="25.5703125" style="10" customWidth="1"/>
    <col min="2314" max="2314" width="0" style="10" hidden="1" customWidth="1"/>
    <col min="2315" max="2315" width="5.85546875" style="10" customWidth="1"/>
    <col min="2316" max="2560" width="9.140625" style="10"/>
    <col min="2561" max="2561" width="5.140625" style="10" customWidth="1"/>
    <col min="2562" max="2562" width="11.28515625" style="10" customWidth="1"/>
    <col min="2563" max="2563" width="12.42578125" style="10" customWidth="1"/>
    <col min="2564" max="2565" width="8.42578125" style="10" customWidth="1"/>
    <col min="2566" max="2566" width="10.5703125" style="10" customWidth="1"/>
    <col min="2567" max="2567" width="19.28515625" style="10" customWidth="1"/>
    <col min="2568" max="2568" width="16.140625" style="10" customWidth="1"/>
    <col min="2569" max="2569" width="25.5703125" style="10" customWidth="1"/>
    <col min="2570" max="2570" width="0" style="10" hidden="1" customWidth="1"/>
    <col min="2571" max="2571" width="5.85546875" style="10" customWidth="1"/>
    <col min="2572" max="2816" width="9.140625" style="10"/>
    <col min="2817" max="2817" width="5.140625" style="10" customWidth="1"/>
    <col min="2818" max="2818" width="11.28515625" style="10" customWidth="1"/>
    <col min="2819" max="2819" width="12.42578125" style="10" customWidth="1"/>
    <col min="2820" max="2821" width="8.42578125" style="10" customWidth="1"/>
    <col min="2822" max="2822" width="10.5703125" style="10" customWidth="1"/>
    <col min="2823" max="2823" width="19.28515625" style="10" customWidth="1"/>
    <col min="2824" max="2824" width="16.140625" style="10" customWidth="1"/>
    <col min="2825" max="2825" width="25.5703125" style="10" customWidth="1"/>
    <col min="2826" max="2826" width="0" style="10" hidden="1" customWidth="1"/>
    <col min="2827" max="2827" width="5.85546875" style="10" customWidth="1"/>
    <col min="2828" max="3072" width="9.140625" style="10"/>
    <col min="3073" max="3073" width="5.140625" style="10" customWidth="1"/>
    <col min="3074" max="3074" width="11.28515625" style="10" customWidth="1"/>
    <col min="3075" max="3075" width="12.42578125" style="10" customWidth="1"/>
    <col min="3076" max="3077" width="8.42578125" style="10" customWidth="1"/>
    <col min="3078" max="3078" width="10.5703125" style="10" customWidth="1"/>
    <col min="3079" max="3079" width="19.28515625" style="10" customWidth="1"/>
    <col min="3080" max="3080" width="16.140625" style="10" customWidth="1"/>
    <col min="3081" max="3081" width="25.5703125" style="10" customWidth="1"/>
    <col min="3082" max="3082" width="0" style="10" hidden="1" customWidth="1"/>
    <col min="3083" max="3083" width="5.85546875" style="10" customWidth="1"/>
    <col min="3084" max="3328" width="9.140625" style="10"/>
    <col min="3329" max="3329" width="5.140625" style="10" customWidth="1"/>
    <col min="3330" max="3330" width="11.28515625" style="10" customWidth="1"/>
    <col min="3331" max="3331" width="12.42578125" style="10" customWidth="1"/>
    <col min="3332" max="3333" width="8.42578125" style="10" customWidth="1"/>
    <col min="3334" max="3334" width="10.5703125" style="10" customWidth="1"/>
    <col min="3335" max="3335" width="19.28515625" style="10" customWidth="1"/>
    <col min="3336" max="3336" width="16.140625" style="10" customWidth="1"/>
    <col min="3337" max="3337" width="25.5703125" style="10" customWidth="1"/>
    <col min="3338" max="3338" width="0" style="10" hidden="1" customWidth="1"/>
    <col min="3339" max="3339" width="5.85546875" style="10" customWidth="1"/>
    <col min="3340" max="3584" width="9.140625" style="10"/>
    <col min="3585" max="3585" width="5.140625" style="10" customWidth="1"/>
    <col min="3586" max="3586" width="11.28515625" style="10" customWidth="1"/>
    <col min="3587" max="3587" width="12.42578125" style="10" customWidth="1"/>
    <col min="3588" max="3589" width="8.42578125" style="10" customWidth="1"/>
    <col min="3590" max="3590" width="10.5703125" style="10" customWidth="1"/>
    <col min="3591" max="3591" width="19.28515625" style="10" customWidth="1"/>
    <col min="3592" max="3592" width="16.140625" style="10" customWidth="1"/>
    <col min="3593" max="3593" width="25.5703125" style="10" customWidth="1"/>
    <col min="3594" max="3594" width="0" style="10" hidden="1" customWidth="1"/>
    <col min="3595" max="3595" width="5.85546875" style="10" customWidth="1"/>
    <col min="3596" max="3840" width="9.140625" style="10"/>
    <col min="3841" max="3841" width="5.140625" style="10" customWidth="1"/>
    <col min="3842" max="3842" width="11.28515625" style="10" customWidth="1"/>
    <col min="3843" max="3843" width="12.42578125" style="10" customWidth="1"/>
    <col min="3844" max="3845" width="8.42578125" style="10" customWidth="1"/>
    <col min="3846" max="3846" width="10.5703125" style="10" customWidth="1"/>
    <col min="3847" max="3847" width="19.28515625" style="10" customWidth="1"/>
    <col min="3848" max="3848" width="16.140625" style="10" customWidth="1"/>
    <col min="3849" max="3849" width="25.5703125" style="10" customWidth="1"/>
    <col min="3850" max="3850" width="0" style="10" hidden="1" customWidth="1"/>
    <col min="3851" max="3851" width="5.85546875" style="10" customWidth="1"/>
    <col min="3852" max="4096" width="9.140625" style="10"/>
    <col min="4097" max="4097" width="5.140625" style="10" customWidth="1"/>
    <col min="4098" max="4098" width="11.28515625" style="10" customWidth="1"/>
    <col min="4099" max="4099" width="12.42578125" style="10" customWidth="1"/>
    <col min="4100" max="4101" width="8.42578125" style="10" customWidth="1"/>
    <col min="4102" max="4102" width="10.5703125" style="10" customWidth="1"/>
    <col min="4103" max="4103" width="19.28515625" style="10" customWidth="1"/>
    <col min="4104" max="4104" width="16.140625" style="10" customWidth="1"/>
    <col min="4105" max="4105" width="25.5703125" style="10" customWidth="1"/>
    <col min="4106" max="4106" width="0" style="10" hidden="1" customWidth="1"/>
    <col min="4107" max="4107" width="5.85546875" style="10" customWidth="1"/>
    <col min="4108" max="4352" width="9.140625" style="10"/>
    <col min="4353" max="4353" width="5.140625" style="10" customWidth="1"/>
    <col min="4354" max="4354" width="11.28515625" style="10" customWidth="1"/>
    <col min="4355" max="4355" width="12.42578125" style="10" customWidth="1"/>
    <col min="4356" max="4357" width="8.42578125" style="10" customWidth="1"/>
    <col min="4358" max="4358" width="10.5703125" style="10" customWidth="1"/>
    <col min="4359" max="4359" width="19.28515625" style="10" customWidth="1"/>
    <col min="4360" max="4360" width="16.140625" style="10" customWidth="1"/>
    <col min="4361" max="4361" width="25.5703125" style="10" customWidth="1"/>
    <col min="4362" max="4362" width="0" style="10" hidden="1" customWidth="1"/>
    <col min="4363" max="4363" width="5.85546875" style="10" customWidth="1"/>
    <col min="4364" max="4608" width="9.140625" style="10"/>
    <col min="4609" max="4609" width="5.140625" style="10" customWidth="1"/>
    <col min="4610" max="4610" width="11.28515625" style="10" customWidth="1"/>
    <col min="4611" max="4611" width="12.42578125" style="10" customWidth="1"/>
    <col min="4612" max="4613" width="8.42578125" style="10" customWidth="1"/>
    <col min="4614" max="4614" width="10.5703125" style="10" customWidth="1"/>
    <col min="4615" max="4615" width="19.28515625" style="10" customWidth="1"/>
    <col min="4616" max="4616" width="16.140625" style="10" customWidth="1"/>
    <col min="4617" max="4617" width="25.5703125" style="10" customWidth="1"/>
    <col min="4618" max="4618" width="0" style="10" hidden="1" customWidth="1"/>
    <col min="4619" max="4619" width="5.85546875" style="10" customWidth="1"/>
    <col min="4620" max="4864" width="9.140625" style="10"/>
    <col min="4865" max="4865" width="5.140625" style="10" customWidth="1"/>
    <col min="4866" max="4866" width="11.28515625" style="10" customWidth="1"/>
    <col min="4867" max="4867" width="12.42578125" style="10" customWidth="1"/>
    <col min="4868" max="4869" width="8.42578125" style="10" customWidth="1"/>
    <col min="4870" max="4870" width="10.5703125" style="10" customWidth="1"/>
    <col min="4871" max="4871" width="19.28515625" style="10" customWidth="1"/>
    <col min="4872" max="4872" width="16.140625" style="10" customWidth="1"/>
    <col min="4873" max="4873" width="25.5703125" style="10" customWidth="1"/>
    <col min="4874" max="4874" width="0" style="10" hidden="1" customWidth="1"/>
    <col min="4875" max="4875" width="5.85546875" style="10" customWidth="1"/>
    <col min="4876" max="5120" width="9.140625" style="10"/>
    <col min="5121" max="5121" width="5.140625" style="10" customWidth="1"/>
    <col min="5122" max="5122" width="11.28515625" style="10" customWidth="1"/>
    <col min="5123" max="5123" width="12.42578125" style="10" customWidth="1"/>
    <col min="5124" max="5125" width="8.42578125" style="10" customWidth="1"/>
    <col min="5126" max="5126" width="10.5703125" style="10" customWidth="1"/>
    <col min="5127" max="5127" width="19.28515625" style="10" customWidth="1"/>
    <col min="5128" max="5128" width="16.140625" style="10" customWidth="1"/>
    <col min="5129" max="5129" width="25.5703125" style="10" customWidth="1"/>
    <col min="5130" max="5130" width="0" style="10" hidden="1" customWidth="1"/>
    <col min="5131" max="5131" width="5.85546875" style="10" customWidth="1"/>
    <col min="5132" max="5376" width="9.140625" style="10"/>
    <col min="5377" max="5377" width="5.140625" style="10" customWidth="1"/>
    <col min="5378" max="5378" width="11.28515625" style="10" customWidth="1"/>
    <col min="5379" max="5379" width="12.42578125" style="10" customWidth="1"/>
    <col min="5380" max="5381" width="8.42578125" style="10" customWidth="1"/>
    <col min="5382" max="5382" width="10.5703125" style="10" customWidth="1"/>
    <col min="5383" max="5383" width="19.28515625" style="10" customWidth="1"/>
    <col min="5384" max="5384" width="16.140625" style="10" customWidth="1"/>
    <col min="5385" max="5385" width="25.5703125" style="10" customWidth="1"/>
    <col min="5386" max="5386" width="0" style="10" hidden="1" customWidth="1"/>
    <col min="5387" max="5387" width="5.85546875" style="10" customWidth="1"/>
    <col min="5388" max="5632" width="9.140625" style="10"/>
    <col min="5633" max="5633" width="5.140625" style="10" customWidth="1"/>
    <col min="5634" max="5634" width="11.28515625" style="10" customWidth="1"/>
    <col min="5635" max="5635" width="12.42578125" style="10" customWidth="1"/>
    <col min="5636" max="5637" width="8.42578125" style="10" customWidth="1"/>
    <col min="5638" max="5638" width="10.5703125" style="10" customWidth="1"/>
    <col min="5639" max="5639" width="19.28515625" style="10" customWidth="1"/>
    <col min="5640" max="5640" width="16.140625" style="10" customWidth="1"/>
    <col min="5641" max="5641" width="25.5703125" style="10" customWidth="1"/>
    <col min="5642" max="5642" width="0" style="10" hidden="1" customWidth="1"/>
    <col min="5643" max="5643" width="5.85546875" style="10" customWidth="1"/>
    <col min="5644" max="5888" width="9.140625" style="10"/>
    <col min="5889" max="5889" width="5.140625" style="10" customWidth="1"/>
    <col min="5890" max="5890" width="11.28515625" style="10" customWidth="1"/>
    <col min="5891" max="5891" width="12.42578125" style="10" customWidth="1"/>
    <col min="5892" max="5893" width="8.42578125" style="10" customWidth="1"/>
    <col min="5894" max="5894" width="10.5703125" style="10" customWidth="1"/>
    <col min="5895" max="5895" width="19.28515625" style="10" customWidth="1"/>
    <col min="5896" max="5896" width="16.140625" style="10" customWidth="1"/>
    <col min="5897" max="5897" width="25.5703125" style="10" customWidth="1"/>
    <col min="5898" max="5898" width="0" style="10" hidden="1" customWidth="1"/>
    <col min="5899" max="5899" width="5.85546875" style="10" customWidth="1"/>
    <col min="5900" max="6144" width="9.140625" style="10"/>
    <col min="6145" max="6145" width="5.140625" style="10" customWidth="1"/>
    <col min="6146" max="6146" width="11.28515625" style="10" customWidth="1"/>
    <col min="6147" max="6147" width="12.42578125" style="10" customWidth="1"/>
    <col min="6148" max="6149" width="8.42578125" style="10" customWidth="1"/>
    <col min="6150" max="6150" width="10.5703125" style="10" customWidth="1"/>
    <col min="6151" max="6151" width="19.28515625" style="10" customWidth="1"/>
    <col min="6152" max="6152" width="16.140625" style="10" customWidth="1"/>
    <col min="6153" max="6153" width="25.5703125" style="10" customWidth="1"/>
    <col min="6154" max="6154" width="0" style="10" hidden="1" customWidth="1"/>
    <col min="6155" max="6155" width="5.85546875" style="10" customWidth="1"/>
    <col min="6156" max="6400" width="9.140625" style="10"/>
    <col min="6401" max="6401" width="5.140625" style="10" customWidth="1"/>
    <col min="6402" max="6402" width="11.28515625" style="10" customWidth="1"/>
    <col min="6403" max="6403" width="12.42578125" style="10" customWidth="1"/>
    <col min="6404" max="6405" width="8.42578125" style="10" customWidth="1"/>
    <col min="6406" max="6406" width="10.5703125" style="10" customWidth="1"/>
    <col min="6407" max="6407" width="19.28515625" style="10" customWidth="1"/>
    <col min="6408" max="6408" width="16.140625" style="10" customWidth="1"/>
    <col min="6409" max="6409" width="25.5703125" style="10" customWidth="1"/>
    <col min="6410" max="6410" width="0" style="10" hidden="1" customWidth="1"/>
    <col min="6411" max="6411" width="5.85546875" style="10" customWidth="1"/>
    <col min="6412" max="6656" width="9.140625" style="10"/>
    <col min="6657" max="6657" width="5.140625" style="10" customWidth="1"/>
    <col min="6658" max="6658" width="11.28515625" style="10" customWidth="1"/>
    <col min="6659" max="6659" width="12.42578125" style="10" customWidth="1"/>
    <col min="6660" max="6661" width="8.42578125" style="10" customWidth="1"/>
    <col min="6662" max="6662" width="10.5703125" style="10" customWidth="1"/>
    <col min="6663" max="6663" width="19.28515625" style="10" customWidth="1"/>
    <col min="6664" max="6664" width="16.140625" style="10" customWidth="1"/>
    <col min="6665" max="6665" width="25.5703125" style="10" customWidth="1"/>
    <col min="6666" max="6666" width="0" style="10" hidden="1" customWidth="1"/>
    <col min="6667" max="6667" width="5.85546875" style="10" customWidth="1"/>
    <col min="6668" max="6912" width="9.140625" style="10"/>
    <col min="6913" max="6913" width="5.140625" style="10" customWidth="1"/>
    <col min="6914" max="6914" width="11.28515625" style="10" customWidth="1"/>
    <col min="6915" max="6915" width="12.42578125" style="10" customWidth="1"/>
    <col min="6916" max="6917" width="8.42578125" style="10" customWidth="1"/>
    <col min="6918" max="6918" width="10.5703125" style="10" customWidth="1"/>
    <col min="6919" max="6919" width="19.28515625" style="10" customWidth="1"/>
    <col min="6920" max="6920" width="16.140625" style="10" customWidth="1"/>
    <col min="6921" max="6921" width="25.5703125" style="10" customWidth="1"/>
    <col min="6922" max="6922" width="0" style="10" hidden="1" customWidth="1"/>
    <col min="6923" max="6923" width="5.85546875" style="10" customWidth="1"/>
    <col min="6924" max="7168" width="9.140625" style="10"/>
    <col min="7169" max="7169" width="5.140625" style="10" customWidth="1"/>
    <col min="7170" max="7170" width="11.28515625" style="10" customWidth="1"/>
    <col min="7171" max="7171" width="12.42578125" style="10" customWidth="1"/>
    <col min="7172" max="7173" width="8.42578125" style="10" customWidth="1"/>
    <col min="7174" max="7174" width="10.5703125" style="10" customWidth="1"/>
    <col min="7175" max="7175" width="19.28515625" style="10" customWidth="1"/>
    <col min="7176" max="7176" width="16.140625" style="10" customWidth="1"/>
    <col min="7177" max="7177" width="25.5703125" style="10" customWidth="1"/>
    <col min="7178" max="7178" width="0" style="10" hidden="1" customWidth="1"/>
    <col min="7179" max="7179" width="5.85546875" style="10" customWidth="1"/>
    <col min="7180" max="7424" width="9.140625" style="10"/>
    <col min="7425" max="7425" width="5.140625" style="10" customWidth="1"/>
    <col min="7426" max="7426" width="11.28515625" style="10" customWidth="1"/>
    <col min="7427" max="7427" width="12.42578125" style="10" customWidth="1"/>
    <col min="7428" max="7429" width="8.42578125" style="10" customWidth="1"/>
    <col min="7430" max="7430" width="10.5703125" style="10" customWidth="1"/>
    <col min="7431" max="7431" width="19.28515625" style="10" customWidth="1"/>
    <col min="7432" max="7432" width="16.140625" style="10" customWidth="1"/>
    <col min="7433" max="7433" width="25.5703125" style="10" customWidth="1"/>
    <col min="7434" max="7434" width="0" style="10" hidden="1" customWidth="1"/>
    <col min="7435" max="7435" width="5.85546875" style="10" customWidth="1"/>
    <col min="7436" max="7680" width="9.140625" style="10"/>
    <col min="7681" max="7681" width="5.140625" style="10" customWidth="1"/>
    <col min="7682" max="7682" width="11.28515625" style="10" customWidth="1"/>
    <col min="7683" max="7683" width="12.42578125" style="10" customWidth="1"/>
    <col min="7684" max="7685" width="8.42578125" style="10" customWidth="1"/>
    <col min="7686" max="7686" width="10.5703125" style="10" customWidth="1"/>
    <col min="7687" max="7687" width="19.28515625" style="10" customWidth="1"/>
    <col min="7688" max="7688" width="16.140625" style="10" customWidth="1"/>
    <col min="7689" max="7689" width="25.5703125" style="10" customWidth="1"/>
    <col min="7690" max="7690" width="0" style="10" hidden="1" customWidth="1"/>
    <col min="7691" max="7691" width="5.85546875" style="10" customWidth="1"/>
    <col min="7692" max="7936" width="9.140625" style="10"/>
    <col min="7937" max="7937" width="5.140625" style="10" customWidth="1"/>
    <col min="7938" max="7938" width="11.28515625" style="10" customWidth="1"/>
    <col min="7939" max="7939" width="12.42578125" style="10" customWidth="1"/>
    <col min="7940" max="7941" width="8.42578125" style="10" customWidth="1"/>
    <col min="7942" max="7942" width="10.5703125" style="10" customWidth="1"/>
    <col min="7943" max="7943" width="19.28515625" style="10" customWidth="1"/>
    <col min="7944" max="7944" width="16.140625" style="10" customWidth="1"/>
    <col min="7945" max="7945" width="25.5703125" style="10" customWidth="1"/>
    <col min="7946" max="7946" width="0" style="10" hidden="1" customWidth="1"/>
    <col min="7947" max="7947" width="5.85546875" style="10" customWidth="1"/>
    <col min="7948" max="8192" width="9.140625" style="10"/>
    <col min="8193" max="8193" width="5.140625" style="10" customWidth="1"/>
    <col min="8194" max="8194" width="11.28515625" style="10" customWidth="1"/>
    <col min="8195" max="8195" width="12.42578125" style="10" customWidth="1"/>
    <col min="8196" max="8197" width="8.42578125" style="10" customWidth="1"/>
    <col min="8198" max="8198" width="10.5703125" style="10" customWidth="1"/>
    <col min="8199" max="8199" width="19.28515625" style="10" customWidth="1"/>
    <col min="8200" max="8200" width="16.140625" style="10" customWidth="1"/>
    <col min="8201" max="8201" width="25.5703125" style="10" customWidth="1"/>
    <col min="8202" max="8202" width="0" style="10" hidden="1" customWidth="1"/>
    <col min="8203" max="8203" width="5.85546875" style="10" customWidth="1"/>
    <col min="8204" max="8448" width="9.140625" style="10"/>
    <col min="8449" max="8449" width="5.140625" style="10" customWidth="1"/>
    <col min="8450" max="8450" width="11.28515625" style="10" customWidth="1"/>
    <col min="8451" max="8451" width="12.42578125" style="10" customWidth="1"/>
    <col min="8452" max="8453" width="8.42578125" style="10" customWidth="1"/>
    <col min="8454" max="8454" width="10.5703125" style="10" customWidth="1"/>
    <col min="8455" max="8455" width="19.28515625" style="10" customWidth="1"/>
    <col min="8456" max="8456" width="16.140625" style="10" customWidth="1"/>
    <col min="8457" max="8457" width="25.5703125" style="10" customWidth="1"/>
    <col min="8458" max="8458" width="0" style="10" hidden="1" customWidth="1"/>
    <col min="8459" max="8459" width="5.85546875" style="10" customWidth="1"/>
    <col min="8460" max="8704" width="9.140625" style="10"/>
    <col min="8705" max="8705" width="5.140625" style="10" customWidth="1"/>
    <col min="8706" max="8706" width="11.28515625" style="10" customWidth="1"/>
    <col min="8707" max="8707" width="12.42578125" style="10" customWidth="1"/>
    <col min="8708" max="8709" width="8.42578125" style="10" customWidth="1"/>
    <col min="8710" max="8710" width="10.5703125" style="10" customWidth="1"/>
    <col min="8711" max="8711" width="19.28515625" style="10" customWidth="1"/>
    <col min="8712" max="8712" width="16.140625" style="10" customWidth="1"/>
    <col min="8713" max="8713" width="25.5703125" style="10" customWidth="1"/>
    <col min="8714" max="8714" width="0" style="10" hidden="1" customWidth="1"/>
    <col min="8715" max="8715" width="5.85546875" style="10" customWidth="1"/>
    <col min="8716" max="8960" width="9.140625" style="10"/>
    <col min="8961" max="8961" width="5.140625" style="10" customWidth="1"/>
    <col min="8962" max="8962" width="11.28515625" style="10" customWidth="1"/>
    <col min="8963" max="8963" width="12.42578125" style="10" customWidth="1"/>
    <col min="8964" max="8965" width="8.42578125" style="10" customWidth="1"/>
    <col min="8966" max="8966" width="10.5703125" style="10" customWidth="1"/>
    <col min="8967" max="8967" width="19.28515625" style="10" customWidth="1"/>
    <col min="8968" max="8968" width="16.140625" style="10" customWidth="1"/>
    <col min="8969" max="8969" width="25.5703125" style="10" customWidth="1"/>
    <col min="8970" max="8970" width="0" style="10" hidden="1" customWidth="1"/>
    <col min="8971" max="8971" width="5.85546875" style="10" customWidth="1"/>
    <col min="8972" max="9216" width="9.140625" style="10"/>
    <col min="9217" max="9217" width="5.140625" style="10" customWidth="1"/>
    <col min="9218" max="9218" width="11.28515625" style="10" customWidth="1"/>
    <col min="9219" max="9219" width="12.42578125" style="10" customWidth="1"/>
    <col min="9220" max="9221" width="8.42578125" style="10" customWidth="1"/>
    <col min="9222" max="9222" width="10.5703125" style="10" customWidth="1"/>
    <col min="9223" max="9223" width="19.28515625" style="10" customWidth="1"/>
    <col min="9224" max="9224" width="16.140625" style="10" customWidth="1"/>
    <col min="9225" max="9225" width="25.5703125" style="10" customWidth="1"/>
    <col min="9226" max="9226" width="0" style="10" hidden="1" customWidth="1"/>
    <col min="9227" max="9227" width="5.85546875" style="10" customWidth="1"/>
    <col min="9228" max="9472" width="9.140625" style="10"/>
    <col min="9473" max="9473" width="5.140625" style="10" customWidth="1"/>
    <col min="9474" max="9474" width="11.28515625" style="10" customWidth="1"/>
    <col min="9475" max="9475" width="12.42578125" style="10" customWidth="1"/>
    <col min="9476" max="9477" width="8.42578125" style="10" customWidth="1"/>
    <col min="9478" max="9478" width="10.5703125" style="10" customWidth="1"/>
    <col min="9479" max="9479" width="19.28515625" style="10" customWidth="1"/>
    <col min="9480" max="9480" width="16.140625" style="10" customWidth="1"/>
    <col min="9481" max="9481" width="25.5703125" style="10" customWidth="1"/>
    <col min="9482" max="9482" width="0" style="10" hidden="1" customWidth="1"/>
    <col min="9483" max="9483" width="5.85546875" style="10" customWidth="1"/>
    <col min="9484" max="9728" width="9.140625" style="10"/>
    <col min="9729" max="9729" width="5.140625" style="10" customWidth="1"/>
    <col min="9730" max="9730" width="11.28515625" style="10" customWidth="1"/>
    <col min="9731" max="9731" width="12.42578125" style="10" customWidth="1"/>
    <col min="9732" max="9733" width="8.42578125" style="10" customWidth="1"/>
    <col min="9734" max="9734" width="10.5703125" style="10" customWidth="1"/>
    <col min="9735" max="9735" width="19.28515625" style="10" customWidth="1"/>
    <col min="9736" max="9736" width="16.140625" style="10" customWidth="1"/>
    <col min="9737" max="9737" width="25.5703125" style="10" customWidth="1"/>
    <col min="9738" max="9738" width="0" style="10" hidden="1" customWidth="1"/>
    <col min="9739" max="9739" width="5.85546875" style="10" customWidth="1"/>
    <col min="9740" max="9984" width="9.140625" style="10"/>
    <col min="9985" max="9985" width="5.140625" style="10" customWidth="1"/>
    <col min="9986" max="9986" width="11.28515625" style="10" customWidth="1"/>
    <col min="9987" max="9987" width="12.42578125" style="10" customWidth="1"/>
    <col min="9988" max="9989" width="8.42578125" style="10" customWidth="1"/>
    <col min="9990" max="9990" width="10.5703125" style="10" customWidth="1"/>
    <col min="9991" max="9991" width="19.28515625" style="10" customWidth="1"/>
    <col min="9992" max="9992" width="16.140625" style="10" customWidth="1"/>
    <col min="9993" max="9993" width="25.5703125" style="10" customWidth="1"/>
    <col min="9994" max="9994" width="0" style="10" hidden="1" customWidth="1"/>
    <col min="9995" max="9995" width="5.85546875" style="10" customWidth="1"/>
    <col min="9996" max="10240" width="9.140625" style="10"/>
    <col min="10241" max="10241" width="5.140625" style="10" customWidth="1"/>
    <col min="10242" max="10242" width="11.28515625" style="10" customWidth="1"/>
    <col min="10243" max="10243" width="12.42578125" style="10" customWidth="1"/>
    <col min="10244" max="10245" width="8.42578125" style="10" customWidth="1"/>
    <col min="10246" max="10246" width="10.5703125" style="10" customWidth="1"/>
    <col min="10247" max="10247" width="19.28515625" style="10" customWidth="1"/>
    <col min="10248" max="10248" width="16.140625" style="10" customWidth="1"/>
    <col min="10249" max="10249" width="25.5703125" style="10" customWidth="1"/>
    <col min="10250" max="10250" width="0" style="10" hidden="1" customWidth="1"/>
    <col min="10251" max="10251" width="5.85546875" style="10" customWidth="1"/>
    <col min="10252" max="10496" width="9.140625" style="10"/>
    <col min="10497" max="10497" width="5.140625" style="10" customWidth="1"/>
    <col min="10498" max="10498" width="11.28515625" style="10" customWidth="1"/>
    <col min="10499" max="10499" width="12.42578125" style="10" customWidth="1"/>
    <col min="10500" max="10501" width="8.42578125" style="10" customWidth="1"/>
    <col min="10502" max="10502" width="10.5703125" style="10" customWidth="1"/>
    <col min="10503" max="10503" width="19.28515625" style="10" customWidth="1"/>
    <col min="10504" max="10504" width="16.140625" style="10" customWidth="1"/>
    <col min="10505" max="10505" width="25.5703125" style="10" customWidth="1"/>
    <col min="10506" max="10506" width="0" style="10" hidden="1" customWidth="1"/>
    <col min="10507" max="10507" width="5.85546875" style="10" customWidth="1"/>
    <col min="10508" max="10752" width="9.140625" style="10"/>
    <col min="10753" max="10753" width="5.140625" style="10" customWidth="1"/>
    <col min="10754" max="10754" width="11.28515625" style="10" customWidth="1"/>
    <col min="10755" max="10755" width="12.42578125" style="10" customWidth="1"/>
    <col min="10756" max="10757" width="8.42578125" style="10" customWidth="1"/>
    <col min="10758" max="10758" width="10.5703125" style="10" customWidth="1"/>
    <col min="10759" max="10759" width="19.28515625" style="10" customWidth="1"/>
    <col min="10760" max="10760" width="16.140625" style="10" customWidth="1"/>
    <col min="10761" max="10761" width="25.5703125" style="10" customWidth="1"/>
    <col min="10762" max="10762" width="0" style="10" hidden="1" customWidth="1"/>
    <col min="10763" max="10763" width="5.85546875" style="10" customWidth="1"/>
    <col min="10764" max="11008" width="9.140625" style="10"/>
    <col min="11009" max="11009" width="5.140625" style="10" customWidth="1"/>
    <col min="11010" max="11010" width="11.28515625" style="10" customWidth="1"/>
    <col min="11011" max="11011" width="12.42578125" style="10" customWidth="1"/>
    <col min="11012" max="11013" width="8.42578125" style="10" customWidth="1"/>
    <col min="11014" max="11014" width="10.5703125" style="10" customWidth="1"/>
    <col min="11015" max="11015" width="19.28515625" style="10" customWidth="1"/>
    <col min="11016" max="11016" width="16.140625" style="10" customWidth="1"/>
    <col min="11017" max="11017" width="25.5703125" style="10" customWidth="1"/>
    <col min="11018" max="11018" width="0" style="10" hidden="1" customWidth="1"/>
    <col min="11019" max="11019" width="5.85546875" style="10" customWidth="1"/>
    <col min="11020" max="11264" width="9.140625" style="10"/>
    <col min="11265" max="11265" width="5.140625" style="10" customWidth="1"/>
    <col min="11266" max="11266" width="11.28515625" style="10" customWidth="1"/>
    <col min="11267" max="11267" width="12.42578125" style="10" customWidth="1"/>
    <col min="11268" max="11269" width="8.42578125" style="10" customWidth="1"/>
    <col min="11270" max="11270" width="10.5703125" style="10" customWidth="1"/>
    <col min="11271" max="11271" width="19.28515625" style="10" customWidth="1"/>
    <col min="11272" max="11272" width="16.140625" style="10" customWidth="1"/>
    <col min="11273" max="11273" width="25.5703125" style="10" customWidth="1"/>
    <col min="11274" max="11274" width="0" style="10" hidden="1" customWidth="1"/>
    <col min="11275" max="11275" width="5.85546875" style="10" customWidth="1"/>
    <col min="11276" max="11520" width="9.140625" style="10"/>
    <col min="11521" max="11521" width="5.140625" style="10" customWidth="1"/>
    <col min="11522" max="11522" width="11.28515625" style="10" customWidth="1"/>
    <col min="11523" max="11523" width="12.42578125" style="10" customWidth="1"/>
    <col min="11524" max="11525" width="8.42578125" style="10" customWidth="1"/>
    <col min="11526" max="11526" width="10.5703125" style="10" customWidth="1"/>
    <col min="11527" max="11527" width="19.28515625" style="10" customWidth="1"/>
    <col min="11528" max="11528" width="16.140625" style="10" customWidth="1"/>
    <col min="11529" max="11529" width="25.5703125" style="10" customWidth="1"/>
    <col min="11530" max="11530" width="0" style="10" hidden="1" customWidth="1"/>
    <col min="11531" max="11531" width="5.85546875" style="10" customWidth="1"/>
    <col min="11532" max="11776" width="9.140625" style="10"/>
    <col min="11777" max="11777" width="5.140625" style="10" customWidth="1"/>
    <col min="11778" max="11778" width="11.28515625" style="10" customWidth="1"/>
    <col min="11779" max="11779" width="12.42578125" style="10" customWidth="1"/>
    <col min="11780" max="11781" width="8.42578125" style="10" customWidth="1"/>
    <col min="11782" max="11782" width="10.5703125" style="10" customWidth="1"/>
    <col min="11783" max="11783" width="19.28515625" style="10" customWidth="1"/>
    <col min="11784" max="11784" width="16.140625" style="10" customWidth="1"/>
    <col min="11785" max="11785" width="25.5703125" style="10" customWidth="1"/>
    <col min="11786" max="11786" width="0" style="10" hidden="1" customWidth="1"/>
    <col min="11787" max="11787" width="5.85546875" style="10" customWidth="1"/>
    <col min="11788" max="12032" width="9.140625" style="10"/>
    <col min="12033" max="12033" width="5.140625" style="10" customWidth="1"/>
    <col min="12034" max="12034" width="11.28515625" style="10" customWidth="1"/>
    <col min="12035" max="12035" width="12.42578125" style="10" customWidth="1"/>
    <col min="12036" max="12037" width="8.42578125" style="10" customWidth="1"/>
    <col min="12038" max="12038" width="10.5703125" style="10" customWidth="1"/>
    <col min="12039" max="12039" width="19.28515625" style="10" customWidth="1"/>
    <col min="12040" max="12040" width="16.140625" style="10" customWidth="1"/>
    <col min="12041" max="12041" width="25.5703125" style="10" customWidth="1"/>
    <col min="12042" max="12042" width="0" style="10" hidden="1" customWidth="1"/>
    <col min="12043" max="12043" width="5.85546875" style="10" customWidth="1"/>
    <col min="12044" max="12288" width="9.140625" style="10"/>
    <col min="12289" max="12289" width="5.140625" style="10" customWidth="1"/>
    <col min="12290" max="12290" width="11.28515625" style="10" customWidth="1"/>
    <col min="12291" max="12291" width="12.42578125" style="10" customWidth="1"/>
    <col min="12292" max="12293" width="8.42578125" style="10" customWidth="1"/>
    <col min="12294" max="12294" width="10.5703125" style="10" customWidth="1"/>
    <col min="12295" max="12295" width="19.28515625" style="10" customWidth="1"/>
    <col min="12296" max="12296" width="16.140625" style="10" customWidth="1"/>
    <col min="12297" max="12297" width="25.5703125" style="10" customWidth="1"/>
    <col min="12298" max="12298" width="0" style="10" hidden="1" customWidth="1"/>
    <col min="12299" max="12299" width="5.85546875" style="10" customWidth="1"/>
    <col min="12300" max="12544" width="9.140625" style="10"/>
    <col min="12545" max="12545" width="5.140625" style="10" customWidth="1"/>
    <col min="12546" max="12546" width="11.28515625" style="10" customWidth="1"/>
    <col min="12547" max="12547" width="12.42578125" style="10" customWidth="1"/>
    <col min="12548" max="12549" width="8.42578125" style="10" customWidth="1"/>
    <col min="12550" max="12550" width="10.5703125" style="10" customWidth="1"/>
    <col min="12551" max="12551" width="19.28515625" style="10" customWidth="1"/>
    <col min="12552" max="12552" width="16.140625" style="10" customWidth="1"/>
    <col min="12553" max="12553" width="25.5703125" style="10" customWidth="1"/>
    <col min="12554" max="12554" width="0" style="10" hidden="1" customWidth="1"/>
    <col min="12555" max="12555" width="5.85546875" style="10" customWidth="1"/>
    <col min="12556" max="12800" width="9.140625" style="10"/>
    <col min="12801" max="12801" width="5.140625" style="10" customWidth="1"/>
    <col min="12802" max="12802" width="11.28515625" style="10" customWidth="1"/>
    <col min="12803" max="12803" width="12.42578125" style="10" customWidth="1"/>
    <col min="12804" max="12805" width="8.42578125" style="10" customWidth="1"/>
    <col min="12806" max="12806" width="10.5703125" style="10" customWidth="1"/>
    <col min="12807" max="12807" width="19.28515625" style="10" customWidth="1"/>
    <col min="12808" max="12808" width="16.140625" style="10" customWidth="1"/>
    <col min="12809" max="12809" width="25.5703125" style="10" customWidth="1"/>
    <col min="12810" max="12810" width="0" style="10" hidden="1" customWidth="1"/>
    <col min="12811" max="12811" width="5.85546875" style="10" customWidth="1"/>
    <col min="12812" max="13056" width="9.140625" style="10"/>
    <col min="13057" max="13057" width="5.140625" style="10" customWidth="1"/>
    <col min="13058" max="13058" width="11.28515625" style="10" customWidth="1"/>
    <col min="13059" max="13059" width="12.42578125" style="10" customWidth="1"/>
    <col min="13060" max="13061" width="8.42578125" style="10" customWidth="1"/>
    <col min="13062" max="13062" width="10.5703125" style="10" customWidth="1"/>
    <col min="13063" max="13063" width="19.28515625" style="10" customWidth="1"/>
    <col min="13064" max="13064" width="16.140625" style="10" customWidth="1"/>
    <col min="13065" max="13065" width="25.5703125" style="10" customWidth="1"/>
    <col min="13066" max="13066" width="0" style="10" hidden="1" customWidth="1"/>
    <col min="13067" max="13067" width="5.85546875" style="10" customWidth="1"/>
    <col min="13068" max="13312" width="9.140625" style="10"/>
    <col min="13313" max="13313" width="5.140625" style="10" customWidth="1"/>
    <col min="13314" max="13314" width="11.28515625" style="10" customWidth="1"/>
    <col min="13315" max="13315" width="12.42578125" style="10" customWidth="1"/>
    <col min="13316" max="13317" width="8.42578125" style="10" customWidth="1"/>
    <col min="13318" max="13318" width="10.5703125" style="10" customWidth="1"/>
    <col min="13319" max="13319" width="19.28515625" style="10" customWidth="1"/>
    <col min="13320" max="13320" width="16.140625" style="10" customWidth="1"/>
    <col min="13321" max="13321" width="25.5703125" style="10" customWidth="1"/>
    <col min="13322" max="13322" width="0" style="10" hidden="1" customWidth="1"/>
    <col min="13323" max="13323" width="5.85546875" style="10" customWidth="1"/>
    <col min="13324" max="13568" width="9.140625" style="10"/>
    <col min="13569" max="13569" width="5.140625" style="10" customWidth="1"/>
    <col min="13570" max="13570" width="11.28515625" style="10" customWidth="1"/>
    <col min="13571" max="13571" width="12.42578125" style="10" customWidth="1"/>
    <col min="13572" max="13573" width="8.42578125" style="10" customWidth="1"/>
    <col min="13574" max="13574" width="10.5703125" style="10" customWidth="1"/>
    <col min="13575" max="13575" width="19.28515625" style="10" customWidth="1"/>
    <col min="13576" max="13576" width="16.140625" style="10" customWidth="1"/>
    <col min="13577" max="13577" width="25.5703125" style="10" customWidth="1"/>
    <col min="13578" max="13578" width="0" style="10" hidden="1" customWidth="1"/>
    <col min="13579" max="13579" width="5.85546875" style="10" customWidth="1"/>
    <col min="13580" max="13824" width="9.140625" style="10"/>
    <col min="13825" max="13825" width="5.140625" style="10" customWidth="1"/>
    <col min="13826" max="13826" width="11.28515625" style="10" customWidth="1"/>
    <col min="13827" max="13827" width="12.42578125" style="10" customWidth="1"/>
    <col min="13828" max="13829" width="8.42578125" style="10" customWidth="1"/>
    <col min="13830" max="13830" width="10.5703125" style="10" customWidth="1"/>
    <col min="13831" max="13831" width="19.28515625" style="10" customWidth="1"/>
    <col min="13832" max="13832" width="16.140625" style="10" customWidth="1"/>
    <col min="13833" max="13833" width="25.5703125" style="10" customWidth="1"/>
    <col min="13834" max="13834" width="0" style="10" hidden="1" customWidth="1"/>
    <col min="13835" max="13835" width="5.85546875" style="10" customWidth="1"/>
    <col min="13836" max="14080" width="9.140625" style="10"/>
    <col min="14081" max="14081" width="5.140625" style="10" customWidth="1"/>
    <col min="14082" max="14082" width="11.28515625" style="10" customWidth="1"/>
    <col min="14083" max="14083" width="12.42578125" style="10" customWidth="1"/>
    <col min="14084" max="14085" width="8.42578125" style="10" customWidth="1"/>
    <col min="14086" max="14086" width="10.5703125" style="10" customWidth="1"/>
    <col min="14087" max="14087" width="19.28515625" style="10" customWidth="1"/>
    <col min="14088" max="14088" width="16.140625" style="10" customWidth="1"/>
    <col min="14089" max="14089" width="25.5703125" style="10" customWidth="1"/>
    <col min="14090" max="14090" width="0" style="10" hidden="1" customWidth="1"/>
    <col min="14091" max="14091" width="5.85546875" style="10" customWidth="1"/>
    <col min="14092" max="14336" width="9.140625" style="10"/>
    <col min="14337" max="14337" width="5.140625" style="10" customWidth="1"/>
    <col min="14338" max="14338" width="11.28515625" style="10" customWidth="1"/>
    <col min="14339" max="14339" width="12.42578125" style="10" customWidth="1"/>
    <col min="14340" max="14341" width="8.42578125" style="10" customWidth="1"/>
    <col min="14342" max="14342" width="10.5703125" style="10" customWidth="1"/>
    <col min="14343" max="14343" width="19.28515625" style="10" customWidth="1"/>
    <col min="14344" max="14344" width="16.140625" style="10" customWidth="1"/>
    <col min="14345" max="14345" width="25.5703125" style="10" customWidth="1"/>
    <col min="14346" max="14346" width="0" style="10" hidden="1" customWidth="1"/>
    <col min="14347" max="14347" width="5.85546875" style="10" customWidth="1"/>
    <col min="14348" max="14592" width="9.140625" style="10"/>
    <col min="14593" max="14593" width="5.140625" style="10" customWidth="1"/>
    <col min="14594" max="14594" width="11.28515625" style="10" customWidth="1"/>
    <col min="14595" max="14595" width="12.42578125" style="10" customWidth="1"/>
    <col min="14596" max="14597" width="8.42578125" style="10" customWidth="1"/>
    <col min="14598" max="14598" width="10.5703125" style="10" customWidth="1"/>
    <col min="14599" max="14599" width="19.28515625" style="10" customWidth="1"/>
    <col min="14600" max="14600" width="16.140625" style="10" customWidth="1"/>
    <col min="14601" max="14601" width="25.5703125" style="10" customWidth="1"/>
    <col min="14602" max="14602" width="0" style="10" hidden="1" customWidth="1"/>
    <col min="14603" max="14603" width="5.85546875" style="10" customWidth="1"/>
    <col min="14604" max="14848" width="9.140625" style="10"/>
    <col min="14849" max="14849" width="5.140625" style="10" customWidth="1"/>
    <col min="14850" max="14850" width="11.28515625" style="10" customWidth="1"/>
    <col min="14851" max="14851" width="12.42578125" style="10" customWidth="1"/>
    <col min="14852" max="14853" width="8.42578125" style="10" customWidth="1"/>
    <col min="14854" max="14854" width="10.5703125" style="10" customWidth="1"/>
    <col min="14855" max="14855" width="19.28515625" style="10" customWidth="1"/>
    <col min="14856" max="14856" width="16.140625" style="10" customWidth="1"/>
    <col min="14857" max="14857" width="25.5703125" style="10" customWidth="1"/>
    <col min="14858" max="14858" width="0" style="10" hidden="1" customWidth="1"/>
    <col min="14859" max="14859" width="5.85546875" style="10" customWidth="1"/>
    <col min="14860" max="15104" width="9.140625" style="10"/>
    <col min="15105" max="15105" width="5.140625" style="10" customWidth="1"/>
    <col min="15106" max="15106" width="11.28515625" style="10" customWidth="1"/>
    <col min="15107" max="15107" width="12.42578125" style="10" customWidth="1"/>
    <col min="15108" max="15109" width="8.42578125" style="10" customWidth="1"/>
    <col min="15110" max="15110" width="10.5703125" style="10" customWidth="1"/>
    <col min="15111" max="15111" width="19.28515625" style="10" customWidth="1"/>
    <col min="15112" max="15112" width="16.140625" style="10" customWidth="1"/>
    <col min="15113" max="15113" width="25.5703125" style="10" customWidth="1"/>
    <col min="15114" max="15114" width="0" style="10" hidden="1" customWidth="1"/>
    <col min="15115" max="15115" width="5.85546875" style="10" customWidth="1"/>
    <col min="15116" max="15360" width="9.140625" style="10"/>
    <col min="15361" max="15361" width="5.140625" style="10" customWidth="1"/>
    <col min="15362" max="15362" width="11.28515625" style="10" customWidth="1"/>
    <col min="15363" max="15363" width="12.42578125" style="10" customWidth="1"/>
    <col min="15364" max="15365" width="8.42578125" style="10" customWidth="1"/>
    <col min="15366" max="15366" width="10.5703125" style="10" customWidth="1"/>
    <col min="15367" max="15367" width="19.28515625" style="10" customWidth="1"/>
    <col min="15368" max="15368" width="16.140625" style="10" customWidth="1"/>
    <col min="15369" max="15369" width="25.5703125" style="10" customWidth="1"/>
    <col min="15370" max="15370" width="0" style="10" hidden="1" customWidth="1"/>
    <col min="15371" max="15371" width="5.85546875" style="10" customWidth="1"/>
    <col min="15372" max="15616" width="9.140625" style="10"/>
    <col min="15617" max="15617" width="5.140625" style="10" customWidth="1"/>
    <col min="15618" max="15618" width="11.28515625" style="10" customWidth="1"/>
    <col min="15619" max="15619" width="12.42578125" style="10" customWidth="1"/>
    <col min="15620" max="15621" width="8.42578125" style="10" customWidth="1"/>
    <col min="15622" max="15622" width="10.5703125" style="10" customWidth="1"/>
    <col min="15623" max="15623" width="19.28515625" style="10" customWidth="1"/>
    <col min="15624" max="15624" width="16.140625" style="10" customWidth="1"/>
    <col min="15625" max="15625" width="25.5703125" style="10" customWidth="1"/>
    <col min="15626" max="15626" width="0" style="10" hidden="1" customWidth="1"/>
    <col min="15627" max="15627" width="5.85546875" style="10" customWidth="1"/>
    <col min="15628" max="15872" width="9.140625" style="10"/>
    <col min="15873" max="15873" width="5.140625" style="10" customWidth="1"/>
    <col min="15874" max="15874" width="11.28515625" style="10" customWidth="1"/>
    <col min="15875" max="15875" width="12.42578125" style="10" customWidth="1"/>
    <col min="15876" max="15877" width="8.42578125" style="10" customWidth="1"/>
    <col min="15878" max="15878" width="10.5703125" style="10" customWidth="1"/>
    <col min="15879" max="15879" width="19.28515625" style="10" customWidth="1"/>
    <col min="15880" max="15880" width="16.140625" style="10" customWidth="1"/>
    <col min="15881" max="15881" width="25.5703125" style="10" customWidth="1"/>
    <col min="15882" max="15882" width="0" style="10" hidden="1" customWidth="1"/>
    <col min="15883" max="15883" width="5.85546875" style="10" customWidth="1"/>
    <col min="15884" max="16128" width="9.140625" style="10"/>
    <col min="16129" max="16129" width="5.140625" style="10" customWidth="1"/>
    <col min="16130" max="16130" width="11.28515625" style="10" customWidth="1"/>
    <col min="16131" max="16131" width="12.42578125" style="10" customWidth="1"/>
    <col min="16132" max="16133" width="8.42578125" style="10" customWidth="1"/>
    <col min="16134" max="16134" width="10.5703125" style="10" customWidth="1"/>
    <col min="16135" max="16135" width="19.28515625" style="10" customWidth="1"/>
    <col min="16136" max="16136" width="16.140625" style="10" customWidth="1"/>
    <col min="16137" max="16137" width="25.5703125" style="10" customWidth="1"/>
    <col min="16138" max="16138" width="0" style="10" hidden="1" customWidth="1"/>
    <col min="16139" max="16139" width="5.85546875" style="10" customWidth="1"/>
    <col min="16140" max="16384" width="9.140625" style="10"/>
  </cols>
  <sheetData>
    <row r="1" spans="1:11">
      <c r="C1" s="346" t="s">
        <v>126</v>
      </c>
      <c r="D1" s="346"/>
      <c r="E1" s="346"/>
      <c r="F1" s="346"/>
      <c r="G1" s="346"/>
      <c r="H1" s="346"/>
    </row>
    <row r="2" spans="1:11">
      <c r="C2" s="346"/>
      <c r="D2" s="346"/>
      <c r="E2" s="346"/>
      <c r="F2" s="346"/>
      <c r="G2" s="346"/>
      <c r="H2" s="346"/>
    </row>
    <row r="3" spans="1:11" ht="18" customHeight="1">
      <c r="A3" s="402" t="s">
        <v>127</v>
      </c>
      <c r="B3" s="402"/>
      <c r="H3" s="125" t="str">
        <f>'准單(紅紙)-2份'!H3</f>
        <v>准單編號:料</v>
      </c>
      <c r="I3" s="126">
        <f>'准單(紅紙)-2份'!I3</f>
        <v>115</v>
      </c>
      <c r="J3" s="17"/>
    </row>
    <row r="4" spans="1:11" ht="15" customHeight="1">
      <c r="A4" s="324" t="s">
        <v>102</v>
      </c>
      <c r="B4" s="325"/>
      <c r="C4" s="349" t="str">
        <f>'准單(紅紙)-2份'!C4:F5</f>
        <v>新銳船務代理有限公司</v>
      </c>
      <c r="D4" s="391"/>
      <c r="E4" s="391"/>
      <c r="F4" s="392"/>
      <c r="G4" s="191">
        <v>1312450</v>
      </c>
      <c r="H4" s="302" t="s">
        <v>128</v>
      </c>
      <c r="I4" s="300" t="str">
        <f>'准單(紅紙)-2份'!I4:J5</f>
        <v>115/7/27</v>
      </c>
      <c r="J4" s="18"/>
    </row>
    <row r="5" spans="1:11" ht="15" customHeight="1">
      <c r="A5" s="328"/>
      <c r="B5" s="329"/>
      <c r="C5" s="393"/>
      <c r="D5" s="394"/>
      <c r="E5" s="394"/>
      <c r="F5" s="395"/>
      <c r="G5" s="215"/>
      <c r="H5" s="304"/>
      <c r="I5" s="301"/>
      <c r="J5" s="18"/>
    </row>
    <row r="6" spans="1:11" ht="15" customHeight="1">
      <c r="A6" s="312" t="s">
        <v>129</v>
      </c>
      <c r="B6" s="313"/>
      <c r="C6" s="396" t="str">
        <f>'准單(紅紙)-2份'!C6:D9</f>
        <v>大佑輪</v>
      </c>
      <c r="D6" s="397"/>
      <c r="E6" s="324" t="s">
        <v>106</v>
      </c>
      <c r="F6" s="325"/>
      <c r="G6" s="330" t="str">
        <f>'准單(紅紙)-2份'!G6:G9</f>
        <v>15PAHD</v>
      </c>
      <c r="H6" s="302" t="s">
        <v>130</v>
      </c>
      <c r="I6" s="302" t="s">
        <v>131</v>
      </c>
      <c r="J6" s="19"/>
    </row>
    <row r="7" spans="1:11" ht="15" customHeight="1">
      <c r="A7" s="314"/>
      <c r="B7" s="315"/>
      <c r="C7" s="398"/>
      <c r="D7" s="399"/>
      <c r="E7" s="326"/>
      <c r="F7" s="327"/>
      <c r="G7" s="331"/>
      <c r="H7" s="303"/>
      <c r="I7" s="303"/>
      <c r="J7" s="19"/>
    </row>
    <row r="8" spans="1:11" ht="15" customHeight="1">
      <c r="A8" s="314"/>
      <c r="B8" s="315"/>
      <c r="C8" s="398"/>
      <c r="D8" s="399"/>
      <c r="E8" s="326"/>
      <c r="F8" s="327"/>
      <c r="G8" s="331"/>
      <c r="H8" s="303"/>
      <c r="I8" s="303"/>
      <c r="J8" s="19"/>
    </row>
    <row r="9" spans="1:11" ht="15" customHeight="1">
      <c r="A9" s="316"/>
      <c r="B9" s="317"/>
      <c r="C9" s="400"/>
      <c r="D9" s="401"/>
      <c r="E9" s="328"/>
      <c r="F9" s="329"/>
      <c r="G9" s="332"/>
      <c r="H9" s="304"/>
      <c r="I9" s="304"/>
      <c r="J9" s="19"/>
    </row>
    <row r="10" spans="1:11" ht="15" customHeight="1">
      <c r="A10" s="312" t="s">
        <v>110</v>
      </c>
      <c r="B10" s="313"/>
      <c r="C10" s="324" t="str">
        <f>'准單(紅紙)-2份'!C10:D13</f>
        <v>KHH0638S</v>
      </c>
      <c r="D10" s="325"/>
      <c r="E10" s="133" t="s">
        <v>111</v>
      </c>
      <c r="F10" s="134"/>
      <c r="G10" s="300" t="str">
        <f>I4</f>
        <v>115/7/27</v>
      </c>
      <c r="H10" s="302" t="s">
        <v>132</v>
      </c>
      <c r="I10" s="302" t="s">
        <v>133</v>
      </c>
      <c r="J10" s="138"/>
      <c r="K10" s="144"/>
    </row>
    <row r="11" spans="1:11" ht="15" customHeight="1">
      <c r="A11" s="314"/>
      <c r="B11" s="315"/>
      <c r="C11" s="326"/>
      <c r="D11" s="327"/>
      <c r="E11" s="326" t="s">
        <v>134</v>
      </c>
      <c r="F11" s="327"/>
      <c r="G11" s="365"/>
      <c r="H11" s="303"/>
      <c r="I11" s="303"/>
      <c r="J11" s="138"/>
      <c r="K11" s="144"/>
    </row>
    <row r="12" spans="1:11" ht="15" customHeight="1">
      <c r="A12" s="314"/>
      <c r="B12" s="315"/>
      <c r="C12" s="326"/>
      <c r="D12" s="327"/>
      <c r="E12" s="326"/>
      <c r="F12" s="327"/>
      <c r="G12" s="365"/>
      <c r="H12" s="303"/>
      <c r="I12" s="303"/>
      <c r="J12" s="138"/>
      <c r="K12" s="144"/>
    </row>
    <row r="13" spans="1:11" ht="15" customHeight="1">
      <c r="A13" s="316"/>
      <c r="B13" s="317"/>
      <c r="C13" s="328"/>
      <c r="D13" s="329"/>
      <c r="E13" s="135" t="s">
        <v>114</v>
      </c>
      <c r="F13" s="136"/>
      <c r="G13" s="301"/>
      <c r="H13" s="304"/>
      <c r="I13" s="304"/>
      <c r="J13" s="138"/>
      <c r="K13" s="144"/>
    </row>
    <row r="14" spans="1:11" ht="18" customHeight="1">
      <c r="A14" s="333" t="s">
        <v>135</v>
      </c>
      <c r="B14" s="336" t="s">
        <v>136</v>
      </c>
      <c r="C14" s="133" t="s">
        <v>137</v>
      </c>
      <c r="D14" s="134"/>
      <c r="E14" s="339" t="s">
        <v>243</v>
      </c>
      <c r="F14" s="340"/>
      <c r="G14" s="355" t="str">
        <f>'准單(紅紙)-2份'!G14:I14</f>
        <v>1.將貨櫃卸存本站或內陸集散站（進口報關放行）。</v>
      </c>
      <c r="H14" s="356"/>
      <c r="I14" s="357"/>
      <c r="J14" s="138"/>
      <c r="K14" s="144"/>
    </row>
    <row r="15" spans="1:11" ht="18" customHeight="1">
      <c r="A15" s="334"/>
      <c r="B15" s="337"/>
      <c r="C15" s="138" t="s">
        <v>138</v>
      </c>
      <c r="D15" s="139"/>
      <c r="E15" s="341"/>
      <c r="F15" s="342"/>
      <c r="G15" s="358" t="str">
        <f>'准單(紅紙)-2份'!G15:I15</f>
        <v>2.將非櫃裝貨物押運或監視進倉存放。</v>
      </c>
      <c r="H15" s="359"/>
      <c r="I15" s="360"/>
      <c r="J15" s="138"/>
      <c r="K15" s="144"/>
    </row>
    <row r="16" spans="1:11" ht="18" customHeight="1">
      <c r="A16" s="334"/>
      <c r="B16" s="337"/>
      <c r="C16" s="138" t="s">
        <v>139</v>
      </c>
      <c r="D16" s="139"/>
      <c r="E16" s="341"/>
      <c r="F16" s="342"/>
      <c r="G16" s="358" t="str">
        <f>'准單(紅紙)-2份'!G16:I16</f>
        <v>3.船邊免驗提貨（櫃）。4.船邊驗放。</v>
      </c>
      <c r="H16" s="359"/>
      <c r="I16" s="360"/>
      <c r="J16" s="160"/>
      <c r="K16" s="144"/>
    </row>
    <row r="17" spans="1:11" ht="18" customHeight="1">
      <c r="A17" s="334"/>
      <c r="B17" s="337"/>
      <c r="C17" s="138" t="s">
        <v>140</v>
      </c>
      <c r="D17" s="139"/>
      <c r="E17" s="341"/>
      <c r="F17" s="342"/>
      <c r="G17" s="358" t="str">
        <f>'准單(紅紙)-2份'!G17:I17</f>
        <v>5.將轉口貨櫃或空櫃卸運入站.6.公證。7重新包裝。</v>
      </c>
      <c r="H17" s="359"/>
      <c r="I17" s="360"/>
      <c r="J17" s="138"/>
      <c r="K17" s="144"/>
    </row>
    <row r="18" spans="1:11" ht="18" customHeight="1">
      <c r="A18" s="334"/>
      <c r="B18" s="337"/>
      <c r="C18" s="138" t="s">
        <v>121</v>
      </c>
      <c r="D18" s="217"/>
      <c r="E18" s="341"/>
      <c r="F18" s="342"/>
      <c r="G18" s="358" t="str">
        <f>'准單(紅紙)-2份'!G18:I18</f>
        <v>8.換櫃.9.轉運他關區貨櫃。</v>
      </c>
      <c r="H18" s="359"/>
      <c r="I18" s="360"/>
      <c r="J18" s="160"/>
      <c r="K18" s="144"/>
    </row>
    <row r="19" spans="1:11" ht="18" customHeight="1">
      <c r="A19" s="335"/>
      <c r="B19" s="338"/>
      <c r="C19" s="135"/>
      <c r="D19" s="136"/>
      <c r="E19" s="343"/>
      <c r="F19" s="344"/>
      <c r="G19" s="361" t="str">
        <f>'准單(紅紙)-2份'!G19:J19</f>
        <v xml:space="preserve">10.其他:轉運至高雄港(KHH0638S ) </v>
      </c>
      <c r="H19" s="362"/>
      <c r="I19" s="363"/>
      <c r="J19" s="138"/>
      <c r="K19" s="144"/>
    </row>
    <row r="20" spans="1:11" ht="18" customHeight="1">
      <c r="A20" s="369" t="s">
        <v>141</v>
      </c>
      <c r="B20" s="370"/>
      <c r="C20" s="324" t="s">
        <v>142</v>
      </c>
      <c r="D20" s="371"/>
      <c r="E20" s="325"/>
      <c r="F20" s="324" t="s">
        <v>192</v>
      </c>
      <c r="G20" s="325"/>
      <c r="H20" s="375" t="s">
        <v>191</v>
      </c>
      <c r="I20" s="302" t="s">
        <v>143</v>
      </c>
      <c r="J20" s="164"/>
      <c r="K20" s="144"/>
    </row>
    <row r="21" spans="1:11" ht="18" customHeight="1">
      <c r="A21" s="373" t="s">
        <v>144</v>
      </c>
      <c r="B21" s="374"/>
      <c r="C21" s="328"/>
      <c r="D21" s="372"/>
      <c r="E21" s="329"/>
      <c r="F21" s="328"/>
      <c r="G21" s="329"/>
      <c r="H21" s="376"/>
      <c r="I21" s="304"/>
      <c r="J21" s="164"/>
      <c r="K21" s="144"/>
    </row>
    <row r="22" spans="1:11" s="45" customFormat="1" ht="21" customHeight="1">
      <c r="A22" s="388" t="str">
        <f>'准單(紅紙)-2份'!A22:B22</f>
        <v>5501</v>
      </c>
      <c r="B22" s="308"/>
      <c r="C22" s="309" t="str">
        <f>'准單(紅紙)-2份'!C22:E22</f>
        <v>EXPRESS PACKAGE</v>
      </c>
      <c r="D22" s="310"/>
      <c r="E22" s="311"/>
      <c r="F22" s="389" t="str">
        <f>'准單(紅紙)-2份'!F22:H22</f>
        <v>1599PKG</v>
      </c>
      <c r="G22" s="390"/>
      <c r="H22" s="218">
        <f>'准單(紅紙)-2份'!H22</f>
        <v>7137</v>
      </c>
      <c r="I22" s="145" t="str">
        <f>'准單(紅紙)-2份'!I22</f>
        <v>TCNU9125529</v>
      </c>
      <c r="J22" s="20"/>
    </row>
    <row r="23" spans="1:11" ht="18" customHeight="1">
      <c r="A23" s="133" t="s">
        <v>145</v>
      </c>
      <c r="B23" s="137"/>
      <c r="C23" s="137"/>
      <c r="D23" s="137"/>
      <c r="E23" s="137"/>
      <c r="F23" s="137"/>
      <c r="G23" s="137"/>
      <c r="H23" s="137"/>
      <c r="I23" s="134"/>
      <c r="J23" s="11"/>
    </row>
    <row r="24" spans="1:11" ht="18" customHeight="1">
      <c r="A24" s="138"/>
      <c r="B24" s="140"/>
      <c r="C24" s="140"/>
      <c r="D24" s="140"/>
      <c r="E24" s="140"/>
      <c r="F24" s="140"/>
      <c r="G24" s="140"/>
      <c r="H24" s="140"/>
      <c r="I24" s="139"/>
      <c r="J24" s="11"/>
    </row>
    <row r="25" spans="1:11" ht="18" customHeight="1">
      <c r="A25" s="138"/>
      <c r="B25" s="140" t="s">
        <v>146</v>
      </c>
      <c r="C25" s="140" t="s">
        <v>253</v>
      </c>
      <c r="D25" s="140"/>
      <c r="E25" s="140"/>
      <c r="F25" s="140"/>
      <c r="G25" s="140"/>
      <c r="H25" s="140"/>
      <c r="I25" s="139"/>
      <c r="J25" s="11"/>
    </row>
    <row r="26" spans="1:11" ht="18" customHeight="1">
      <c r="A26" s="138"/>
      <c r="B26" s="140"/>
      <c r="C26" s="140"/>
      <c r="D26" s="140"/>
      <c r="E26" s="140"/>
      <c r="F26" s="140"/>
      <c r="G26" s="140"/>
      <c r="H26" s="140"/>
      <c r="I26" s="139"/>
      <c r="J26" s="11"/>
    </row>
    <row r="27" spans="1:11" ht="18" customHeight="1">
      <c r="A27" s="138"/>
      <c r="B27" s="140"/>
      <c r="C27" s="140"/>
      <c r="D27" s="140"/>
      <c r="E27" s="140"/>
      <c r="F27" s="140"/>
      <c r="G27" s="140" t="s">
        <v>147</v>
      </c>
      <c r="H27" s="140"/>
      <c r="I27" s="139"/>
      <c r="J27" s="11"/>
    </row>
    <row r="28" spans="1:11" ht="18" customHeight="1">
      <c r="A28" s="135"/>
      <c r="B28" s="132"/>
      <c r="C28" s="132"/>
      <c r="D28" s="132"/>
      <c r="E28" s="132"/>
      <c r="F28" s="132"/>
      <c r="G28" s="132"/>
      <c r="H28" s="132"/>
      <c r="I28" s="136"/>
      <c r="J28" s="11"/>
    </row>
    <row r="29" spans="1:11" ht="24" customHeight="1">
      <c r="A29" s="377" t="s">
        <v>148</v>
      </c>
      <c r="B29" s="380" t="s">
        <v>149</v>
      </c>
      <c r="C29" s="134"/>
      <c r="D29" s="380" t="s">
        <v>150</v>
      </c>
      <c r="E29" s="137"/>
      <c r="F29" s="134"/>
      <c r="G29" s="385" t="s">
        <v>254</v>
      </c>
      <c r="H29" s="385" t="s">
        <v>255</v>
      </c>
      <c r="I29" s="165"/>
      <c r="J29" s="11"/>
    </row>
    <row r="30" spans="1:11" ht="24" customHeight="1">
      <c r="A30" s="378"/>
      <c r="B30" s="381"/>
      <c r="C30" s="139"/>
      <c r="D30" s="383"/>
      <c r="E30" s="140"/>
      <c r="F30" s="139"/>
      <c r="G30" s="386"/>
      <c r="H30" s="386"/>
      <c r="I30" s="143"/>
      <c r="J30" s="11"/>
    </row>
    <row r="31" spans="1:11" ht="24" customHeight="1">
      <c r="A31" s="378"/>
      <c r="B31" s="381"/>
      <c r="C31" s="139"/>
      <c r="D31" s="383"/>
      <c r="E31" s="140"/>
      <c r="F31" s="139"/>
      <c r="G31" s="386"/>
      <c r="H31" s="386"/>
      <c r="I31" s="143"/>
      <c r="J31" s="11"/>
    </row>
    <row r="32" spans="1:11" ht="24" customHeight="1">
      <c r="A32" s="378"/>
      <c r="B32" s="381"/>
      <c r="C32" s="139"/>
      <c r="D32" s="383"/>
      <c r="E32" s="140"/>
      <c r="F32" s="139"/>
      <c r="G32" s="386"/>
      <c r="H32" s="386"/>
      <c r="I32" s="143"/>
      <c r="J32" s="11"/>
    </row>
    <row r="33" spans="1:10" ht="24" customHeight="1">
      <c r="A33" s="379"/>
      <c r="B33" s="382"/>
      <c r="C33" s="146"/>
      <c r="D33" s="384"/>
      <c r="E33" s="21"/>
      <c r="F33" s="146"/>
      <c r="G33" s="387"/>
      <c r="H33" s="387"/>
      <c r="I33" s="219"/>
      <c r="J33" s="22"/>
    </row>
    <row r="34" spans="1:10" ht="19.5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19.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spans="1:10" ht="19.5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 spans="1:10" ht="19.5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10" ht="19.5">
      <c r="A38" s="16"/>
      <c r="B38" s="16"/>
      <c r="C38" s="16"/>
      <c r="D38" s="16"/>
      <c r="E38" s="16"/>
      <c r="F38" s="16"/>
      <c r="G38" s="16"/>
      <c r="H38" s="16"/>
      <c r="I38" s="16"/>
      <c r="J38" s="16"/>
    </row>
  </sheetData>
  <mergeCells count="41">
    <mergeCell ref="C1:H2"/>
    <mergeCell ref="A10:B13"/>
    <mergeCell ref="C10:D13"/>
    <mergeCell ref="G10:G13"/>
    <mergeCell ref="A20:B20"/>
    <mergeCell ref="C20:E21"/>
    <mergeCell ref="C6:D9"/>
    <mergeCell ref="H10:H13"/>
    <mergeCell ref="E6:F9"/>
    <mergeCell ref="G6:G9"/>
    <mergeCell ref="A3:B3"/>
    <mergeCell ref="A14:A19"/>
    <mergeCell ref="B14:B19"/>
    <mergeCell ref="E14:F19"/>
    <mergeCell ref="G15:I15"/>
    <mergeCell ref="G16:I16"/>
    <mergeCell ref="A4:B5"/>
    <mergeCell ref="C4:F5"/>
    <mergeCell ref="H4:H5"/>
    <mergeCell ref="I4:I5"/>
    <mergeCell ref="A6:B9"/>
    <mergeCell ref="H6:H9"/>
    <mergeCell ref="I6:I9"/>
    <mergeCell ref="I20:I21"/>
    <mergeCell ref="A21:B21"/>
    <mergeCell ref="G19:I19"/>
    <mergeCell ref="G14:I14"/>
    <mergeCell ref="I10:I13"/>
    <mergeCell ref="E11:F12"/>
    <mergeCell ref="G17:I17"/>
    <mergeCell ref="G18:I18"/>
    <mergeCell ref="A22:B22"/>
    <mergeCell ref="C22:E22"/>
    <mergeCell ref="F22:G22"/>
    <mergeCell ref="F20:G21"/>
    <mergeCell ref="H20:H21"/>
    <mergeCell ref="A29:A33"/>
    <mergeCell ref="B29:B33"/>
    <mergeCell ref="D29:D33"/>
    <mergeCell ref="G29:G33"/>
    <mergeCell ref="H29:H33"/>
  </mergeCells>
  <phoneticPr fontId="3" type="noConversion"/>
  <printOptions horizontalCentered="1"/>
  <pageMargins left="0.19685039370078741" right="0.19685039370078741" top="0.39370078740157483" bottom="0.27559055118110237" header="0.35433070866141736" footer="0.35433070866141736"/>
  <pageSetup paperSize="9" scale="7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tabSelected="1" view="pageBreakPreview" zoomScaleNormal="100" zoomScaleSheetLayoutView="100" workbookViewId="0">
      <selection activeCell="I9" sqref="I9:I10"/>
    </sheetView>
  </sheetViews>
  <sheetFormatPr defaultRowHeight="15.75"/>
  <cols>
    <col min="1" max="1" width="8.28515625" customWidth="1"/>
    <col min="2" max="2" width="17.7109375" customWidth="1"/>
    <col min="3" max="3" width="12.7109375" customWidth="1"/>
    <col min="4" max="4" width="11.7109375" customWidth="1"/>
    <col min="5" max="5" width="12.5703125" customWidth="1"/>
    <col min="6" max="6" width="8.28515625" customWidth="1"/>
    <col min="7" max="7" width="22.28515625" customWidth="1"/>
    <col min="8" max="8" width="9.7109375" customWidth="1"/>
    <col min="9" max="9" width="12.85546875" customWidth="1"/>
    <col min="10" max="10" width="23.7109375" customWidth="1"/>
    <col min="12" max="12" width="9.140625" customWidth="1"/>
    <col min="13" max="13" width="25.85546875" customWidth="1"/>
  </cols>
  <sheetData>
    <row r="1" spans="1:12" ht="46.5" customHeight="1">
      <c r="A1" s="413" t="s">
        <v>15</v>
      </c>
      <c r="B1" s="413"/>
      <c r="C1" s="3"/>
      <c r="D1" s="8" t="s">
        <v>26</v>
      </c>
      <c r="E1" s="414" t="s">
        <v>27</v>
      </c>
      <c r="F1" s="414"/>
      <c r="G1" s="415" t="s">
        <v>186</v>
      </c>
      <c r="H1" s="415"/>
      <c r="I1" s="8" t="s">
        <v>28</v>
      </c>
      <c r="J1" s="8"/>
      <c r="K1" s="8"/>
      <c r="L1" s="8"/>
    </row>
    <row r="2" spans="1:12" ht="21">
      <c r="A2" s="4" t="s">
        <v>16</v>
      </c>
      <c r="B2" s="3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6.5">
      <c r="A3" s="416" t="s">
        <v>11</v>
      </c>
      <c r="B3" s="416"/>
      <c r="C3" s="5"/>
      <c r="D3" s="3"/>
      <c r="E3" s="403" t="s">
        <v>18</v>
      </c>
      <c r="F3" s="403"/>
      <c r="G3" s="3" t="str">
        <f>進口艙單印1份!D3</f>
        <v>輯薪輪</v>
      </c>
      <c r="H3" s="6" t="s">
        <v>19</v>
      </c>
      <c r="I3" s="9" t="str">
        <f>'准單(紅紙)-2份'!I4</f>
        <v>115/7/27</v>
      </c>
      <c r="J3" s="3"/>
      <c r="K3" s="403"/>
      <c r="L3" s="403"/>
    </row>
    <row r="4" spans="1:12" ht="42" customHeight="1">
      <c r="A4" s="7" t="s">
        <v>20</v>
      </c>
      <c r="B4" s="7" t="s">
        <v>21</v>
      </c>
      <c r="C4" s="404" t="s">
        <v>248</v>
      </c>
      <c r="D4" s="404"/>
      <c r="E4" s="403" t="s">
        <v>22</v>
      </c>
      <c r="F4" s="403"/>
      <c r="G4" s="3" t="str">
        <f>進口艙單印1份!L3</f>
        <v>15PAHD</v>
      </c>
      <c r="H4" s="3" t="s">
        <v>12</v>
      </c>
      <c r="I4" s="3"/>
      <c r="J4" s="3"/>
      <c r="K4" s="3"/>
      <c r="L4" s="3"/>
    </row>
    <row r="5" spans="1:12" ht="21.75" thickBot="1">
      <c r="A5" s="405" t="s">
        <v>23</v>
      </c>
      <c r="B5" s="405"/>
      <c r="C5" s="3" t="s">
        <v>224</v>
      </c>
      <c r="D5" s="3"/>
      <c r="E5" s="403" t="s">
        <v>24</v>
      </c>
      <c r="F5" s="403"/>
      <c r="G5" s="406" t="s">
        <v>25</v>
      </c>
      <c r="H5" s="406"/>
      <c r="I5" s="406"/>
      <c r="J5" s="3"/>
      <c r="K5" s="3"/>
    </row>
    <row r="6" spans="1:12" ht="16.5" thickBot="1"/>
    <row r="7" spans="1:12" ht="21" customHeight="1">
      <c r="A7" s="417" t="s">
        <v>0</v>
      </c>
      <c r="B7" s="194" t="s">
        <v>1</v>
      </c>
      <c r="C7" s="417" t="s">
        <v>3</v>
      </c>
      <c r="D7" s="192" t="s">
        <v>29</v>
      </c>
      <c r="E7" s="419" t="s">
        <v>5</v>
      </c>
      <c r="F7" s="420"/>
      <c r="G7" s="194" t="s">
        <v>7</v>
      </c>
      <c r="H7" s="417" t="s">
        <v>34</v>
      </c>
      <c r="I7" s="152" t="s">
        <v>8</v>
      </c>
      <c r="J7" s="409" t="s">
        <v>10</v>
      </c>
    </row>
    <row r="8" spans="1:12" ht="16.5" thickBot="1">
      <c r="A8" s="418"/>
      <c r="B8" s="195" t="s">
        <v>2</v>
      </c>
      <c r="C8" s="418"/>
      <c r="D8" s="193" t="s">
        <v>4</v>
      </c>
      <c r="E8" s="411" t="s">
        <v>6</v>
      </c>
      <c r="F8" s="412"/>
      <c r="G8" s="195" t="s">
        <v>2</v>
      </c>
      <c r="H8" s="418"/>
      <c r="I8" s="153" t="s">
        <v>9</v>
      </c>
      <c r="J8" s="410"/>
    </row>
    <row r="9" spans="1:12" ht="21" customHeight="1">
      <c r="A9" s="417">
        <v>1</v>
      </c>
      <c r="B9" s="427" t="str">
        <f>進口艙單印1份!E16</f>
        <v>TCNU9125529</v>
      </c>
      <c r="C9" s="429">
        <f>進口艙單印1份!P16</f>
        <v>200405</v>
      </c>
      <c r="D9" s="421" t="str">
        <f>進口艙單印1份!B16</f>
        <v>5501</v>
      </c>
      <c r="E9" s="417">
        <f>進口艙單印1份!C16</f>
        <v>1599</v>
      </c>
      <c r="F9" s="417" t="str">
        <f>進口艙單印1份!D16</f>
        <v>PKG</v>
      </c>
      <c r="G9" s="167" t="str">
        <f t="shared" ref="G9" si="0">B9</f>
        <v>TCNU9125529</v>
      </c>
      <c r="H9" s="417" t="str">
        <f>進口艙單印1份!U16</f>
        <v>45G1</v>
      </c>
      <c r="I9" s="423"/>
      <c r="J9" s="407" t="s">
        <v>278</v>
      </c>
      <c r="L9" s="44"/>
    </row>
    <row r="10" spans="1:12" ht="21" customHeight="1" thickBot="1">
      <c r="A10" s="418"/>
      <c r="B10" s="428"/>
      <c r="C10" s="430"/>
      <c r="D10" s="422"/>
      <c r="E10" s="418"/>
      <c r="F10" s="418"/>
      <c r="G10" s="168">
        <f>進口艙單印1份!I16</f>
        <v>7137</v>
      </c>
      <c r="H10" s="418"/>
      <c r="I10" s="424"/>
      <c r="J10" s="408"/>
      <c r="L10" s="44"/>
    </row>
    <row r="11" spans="1:12">
      <c r="A11" s="426" t="s">
        <v>13</v>
      </c>
      <c r="B11" s="426"/>
    </row>
    <row r="12" spans="1:12">
      <c r="A12" s="425" t="s">
        <v>30</v>
      </c>
      <c r="B12" s="425"/>
      <c r="G12" t="s">
        <v>32</v>
      </c>
    </row>
    <row r="13" spans="1:12">
      <c r="A13" s="425" t="s">
        <v>14</v>
      </c>
      <c r="B13" s="425"/>
    </row>
    <row r="14" spans="1:12" ht="12" customHeight="1">
      <c r="A14" s="1"/>
    </row>
    <row r="15" spans="1:12">
      <c r="E15" s="2" t="s">
        <v>31</v>
      </c>
    </row>
  </sheetData>
  <mergeCells count="29">
    <mergeCell ref="I9:I10"/>
    <mergeCell ref="A13:B13"/>
    <mergeCell ref="A11:B11"/>
    <mergeCell ref="A9:A10"/>
    <mergeCell ref="B9:B10"/>
    <mergeCell ref="C9:C10"/>
    <mergeCell ref="A12:B12"/>
    <mergeCell ref="J9:J10"/>
    <mergeCell ref="J7:J8"/>
    <mergeCell ref="E8:F8"/>
    <mergeCell ref="A1:B1"/>
    <mergeCell ref="E1:F1"/>
    <mergeCell ref="G1:H1"/>
    <mergeCell ref="A3:B3"/>
    <mergeCell ref="E3:F3"/>
    <mergeCell ref="A7:A8"/>
    <mergeCell ref="C7:C8"/>
    <mergeCell ref="E7:F7"/>
    <mergeCell ref="H7:H8"/>
    <mergeCell ref="D9:D10"/>
    <mergeCell ref="E9:E10"/>
    <mergeCell ref="F9:F10"/>
    <mergeCell ref="H9:H10"/>
    <mergeCell ref="K3:L3"/>
    <mergeCell ref="C4:D4"/>
    <mergeCell ref="E4:F4"/>
    <mergeCell ref="A5:B5"/>
    <mergeCell ref="E5:F5"/>
    <mergeCell ref="G5:I5"/>
  </mergeCells>
  <phoneticPr fontId="3" type="noConversion"/>
  <pageMargins left="0.39370078740157483" right="0.31496062992125984" top="0.74803149606299213" bottom="0.74803149606299213" header="0.31496062992125984" footer="0.31496062992125984"/>
  <pageSetup paperSize="9" scale="70" orientation="portrait" r:id="rId1"/>
  <colBreaks count="1" manualBreakCount="1">
    <brk id="1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2"/>
  </sheetPr>
  <dimension ref="A1:P41"/>
  <sheetViews>
    <sheetView zoomScale="115" zoomScaleNormal="115" zoomScaleSheetLayoutView="130" workbookViewId="0">
      <selection activeCell="H4" sqref="H4"/>
    </sheetView>
  </sheetViews>
  <sheetFormatPr defaultRowHeight="16.5"/>
  <cols>
    <col min="1" max="1" width="4.28515625" style="23" customWidth="1"/>
    <col min="2" max="2" width="13.7109375" style="23" customWidth="1"/>
    <col min="3" max="3" width="3.85546875" style="23" customWidth="1"/>
    <col min="4" max="4" width="7" style="23" customWidth="1"/>
    <col min="5" max="5" width="5.42578125" style="23" customWidth="1"/>
    <col min="6" max="6" width="15" style="23" customWidth="1"/>
    <col min="7" max="7" width="3.7109375" style="23" customWidth="1"/>
    <col min="8" max="8" width="7.85546875" style="23" customWidth="1"/>
    <col min="9" max="9" width="3.85546875" style="23" customWidth="1"/>
    <col min="10" max="10" width="9" style="23" customWidth="1"/>
    <col min="11" max="11" width="3.7109375" style="23" customWidth="1"/>
    <col min="12" max="12" width="7.7109375" style="23" customWidth="1"/>
    <col min="13" max="13" width="5" style="23" customWidth="1"/>
    <col min="14" max="14" width="10.7109375" style="46" customWidth="1"/>
    <col min="15" max="251" width="9.140625" style="23"/>
    <col min="252" max="252" width="4.28515625" style="23" customWidth="1"/>
    <col min="253" max="253" width="13.7109375" style="23" customWidth="1"/>
    <col min="254" max="254" width="3.85546875" style="23" customWidth="1"/>
    <col min="255" max="255" width="7" style="23" customWidth="1"/>
    <col min="256" max="256" width="5.28515625" style="23" customWidth="1"/>
    <col min="257" max="257" width="14.85546875" style="23" customWidth="1"/>
    <col min="258" max="258" width="3.7109375" style="23" customWidth="1"/>
    <col min="259" max="259" width="7.85546875" style="23" customWidth="1"/>
    <col min="260" max="260" width="3.85546875" style="23" customWidth="1"/>
    <col min="261" max="261" width="9" style="23" customWidth="1"/>
    <col min="262" max="262" width="3.7109375" style="23" customWidth="1"/>
    <col min="263" max="263" width="7.7109375" style="23" customWidth="1"/>
    <col min="264" max="264" width="5" style="23" customWidth="1"/>
    <col min="265" max="265" width="7.85546875" style="23" customWidth="1"/>
    <col min="266" max="507" width="9.140625" style="23"/>
    <col min="508" max="508" width="4.28515625" style="23" customWidth="1"/>
    <col min="509" max="509" width="13.7109375" style="23" customWidth="1"/>
    <col min="510" max="510" width="3.85546875" style="23" customWidth="1"/>
    <col min="511" max="511" width="7" style="23" customWidth="1"/>
    <col min="512" max="512" width="5.28515625" style="23" customWidth="1"/>
    <col min="513" max="513" width="14.85546875" style="23" customWidth="1"/>
    <col min="514" max="514" width="3.7109375" style="23" customWidth="1"/>
    <col min="515" max="515" width="7.85546875" style="23" customWidth="1"/>
    <col min="516" max="516" width="3.85546875" style="23" customWidth="1"/>
    <col min="517" max="517" width="9" style="23" customWidth="1"/>
    <col min="518" max="518" width="3.7109375" style="23" customWidth="1"/>
    <col min="519" max="519" width="7.7109375" style="23" customWidth="1"/>
    <col min="520" max="520" width="5" style="23" customWidth="1"/>
    <col min="521" max="521" width="7.85546875" style="23" customWidth="1"/>
    <col min="522" max="763" width="9.140625" style="23"/>
    <col min="764" max="764" width="4.28515625" style="23" customWidth="1"/>
    <col min="765" max="765" width="13.7109375" style="23" customWidth="1"/>
    <col min="766" max="766" width="3.85546875" style="23" customWidth="1"/>
    <col min="767" max="767" width="7" style="23" customWidth="1"/>
    <col min="768" max="768" width="5.28515625" style="23" customWidth="1"/>
    <col min="769" max="769" width="14.85546875" style="23" customWidth="1"/>
    <col min="770" max="770" width="3.7109375" style="23" customWidth="1"/>
    <col min="771" max="771" width="7.85546875" style="23" customWidth="1"/>
    <col min="772" max="772" width="3.85546875" style="23" customWidth="1"/>
    <col min="773" max="773" width="9" style="23" customWidth="1"/>
    <col min="774" max="774" width="3.7109375" style="23" customWidth="1"/>
    <col min="775" max="775" width="7.7109375" style="23" customWidth="1"/>
    <col min="776" max="776" width="5" style="23" customWidth="1"/>
    <col min="777" max="777" width="7.85546875" style="23" customWidth="1"/>
    <col min="778" max="1019" width="9.140625" style="23"/>
    <col min="1020" max="1020" width="4.28515625" style="23" customWidth="1"/>
    <col min="1021" max="1021" width="13.7109375" style="23" customWidth="1"/>
    <col min="1022" max="1022" width="3.85546875" style="23" customWidth="1"/>
    <col min="1023" max="1023" width="7" style="23" customWidth="1"/>
    <col min="1024" max="1024" width="5.28515625" style="23" customWidth="1"/>
    <col min="1025" max="1025" width="14.85546875" style="23" customWidth="1"/>
    <col min="1026" max="1026" width="3.7109375" style="23" customWidth="1"/>
    <col min="1027" max="1027" width="7.85546875" style="23" customWidth="1"/>
    <col min="1028" max="1028" width="3.85546875" style="23" customWidth="1"/>
    <col min="1029" max="1029" width="9" style="23" customWidth="1"/>
    <col min="1030" max="1030" width="3.7109375" style="23" customWidth="1"/>
    <col min="1031" max="1031" width="7.7109375" style="23" customWidth="1"/>
    <col min="1032" max="1032" width="5" style="23" customWidth="1"/>
    <col min="1033" max="1033" width="7.85546875" style="23" customWidth="1"/>
    <col min="1034" max="1275" width="9.140625" style="23"/>
    <col min="1276" max="1276" width="4.28515625" style="23" customWidth="1"/>
    <col min="1277" max="1277" width="13.7109375" style="23" customWidth="1"/>
    <col min="1278" max="1278" width="3.85546875" style="23" customWidth="1"/>
    <col min="1279" max="1279" width="7" style="23" customWidth="1"/>
    <col min="1280" max="1280" width="5.28515625" style="23" customWidth="1"/>
    <col min="1281" max="1281" width="14.85546875" style="23" customWidth="1"/>
    <col min="1282" max="1282" width="3.7109375" style="23" customWidth="1"/>
    <col min="1283" max="1283" width="7.85546875" style="23" customWidth="1"/>
    <col min="1284" max="1284" width="3.85546875" style="23" customWidth="1"/>
    <col min="1285" max="1285" width="9" style="23" customWidth="1"/>
    <col min="1286" max="1286" width="3.7109375" style="23" customWidth="1"/>
    <col min="1287" max="1287" width="7.7109375" style="23" customWidth="1"/>
    <col min="1288" max="1288" width="5" style="23" customWidth="1"/>
    <col min="1289" max="1289" width="7.85546875" style="23" customWidth="1"/>
    <col min="1290" max="1531" width="9.140625" style="23"/>
    <col min="1532" max="1532" width="4.28515625" style="23" customWidth="1"/>
    <col min="1533" max="1533" width="13.7109375" style="23" customWidth="1"/>
    <col min="1534" max="1534" width="3.85546875" style="23" customWidth="1"/>
    <col min="1535" max="1535" width="7" style="23" customWidth="1"/>
    <col min="1536" max="1536" width="5.28515625" style="23" customWidth="1"/>
    <col min="1537" max="1537" width="14.85546875" style="23" customWidth="1"/>
    <col min="1538" max="1538" width="3.7109375" style="23" customWidth="1"/>
    <col min="1539" max="1539" width="7.85546875" style="23" customWidth="1"/>
    <col min="1540" max="1540" width="3.85546875" style="23" customWidth="1"/>
    <col min="1541" max="1541" width="9" style="23" customWidth="1"/>
    <col min="1542" max="1542" width="3.7109375" style="23" customWidth="1"/>
    <col min="1543" max="1543" width="7.7109375" style="23" customWidth="1"/>
    <col min="1544" max="1544" width="5" style="23" customWidth="1"/>
    <col min="1545" max="1545" width="7.85546875" style="23" customWidth="1"/>
    <col min="1546" max="1787" width="9.140625" style="23"/>
    <col min="1788" max="1788" width="4.28515625" style="23" customWidth="1"/>
    <col min="1789" max="1789" width="13.7109375" style="23" customWidth="1"/>
    <col min="1790" max="1790" width="3.85546875" style="23" customWidth="1"/>
    <col min="1791" max="1791" width="7" style="23" customWidth="1"/>
    <col min="1792" max="1792" width="5.28515625" style="23" customWidth="1"/>
    <col min="1793" max="1793" width="14.85546875" style="23" customWidth="1"/>
    <col min="1794" max="1794" width="3.7109375" style="23" customWidth="1"/>
    <col min="1795" max="1795" width="7.85546875" style="23" customWidth="1"/>
    <col min="1796" max="1796" width="3.85546875" style="23" customWidth="1"/>
    <col min="1797" max="1797" width="9" style="23" customWidth="1"/>
    <col min="1798" max="1798" width="3.7109375" style="23" customWidth="1"/>
    <col min="1799" max="1799" width="7.7109375" style="23" customWidth="1"/>
    <col min="1800" max="1800" width="5" style="23" customWidth="1"/>
    <col min="1801" max="1801" width="7.85546875" style="23" customWidth="1"/>
    <col min="1802" max="2043" width="9.140625" style="23"/>
    <col min="2044" max="2044" width="4.28515625" style="23" customWidth="1"/>
    <col min="2045" max="2045" width="13.7109375" style="23" customWidth="1"/>
    <col min="2046" max="2046" width="3.85546875" style="23" customWidth="1"/>
    <col min="2047" max="2047" width="7" style="23" customWidth="1"/>
    <col min="2048" max="2048" width="5.28515625" style="23" customWidth="1"/>
    <col min="2049" max="2049" width="14.85546875" style="23" customWidth="1"/>
    <col min="2050" max="2050" width="3.7109375" style="23" customWidth="1"/>
    <col min="2051" max="2051" width="7.85546875" style="23" customWidth="1"/>
    <col min="2052" max="2052" width="3.85546875" style="23" customWidth="1"/>
    <col min="2053" max="2053" width="9" style="23" customWidth="1"/>
    <col min="2054" max="2054" width="3.7109375" style="23" customWidth="1"/>
    <col min="2055" max="2055" width="7.7109375" style="23" customWidth="1"/>
    <col min="2056" max="2056" width="5" style="23" customWidth="1"/>
    <col min="2057" max="2057" width="7.85546875" style="23" customWidth="1"/>
    <col min="2058" max="2299" width="9.140625" style="23"/>
    <col min="2300" max="2300" width="4.28515625" style="23" customWidth="1"/>
    <col min="2301" max="2301" width="13.7109375" style="23" customWidth="1"/>
    <col min="2302" max="2302" width="3.85546875" style="23" customWidth="1"/>
    <col min="2303" max="2303" width="7" style="23" customWidth="1"/>
    <col min="2304" max="2304" width="5.28515625" style="23" customWidth="1"/>
    <col min="2305" max="2305" width="14.85546875" style="23" customWidth="1"/>
    <col min="2306" max="2306" width="3.7109375" style="23" customWidth="1"/>
    <col min="2307" max="2307" width="7.85546875" style="23" customWidth="1"/>
    <col min="2308" max="2308" width="3.85546875" style="23" customWidth="1"/>
    <col min="2309" max="2309" width="9" style="23" customWidth="1"/>
    <col min="2310" max="2310" width="3.7109375" style="23" customWidth="1"/>
    <col min="2311" max="2311" width="7.7109375" style="23" customWidth="1"/>
    <col min="2312" max="2312" width="5" style="23" customWidth="1"/>
    <col min="2313" max="2313" width="7.85546875" style="23" customWidth="1"/>
    <col min="2314" max="2555" width="9.140625" style="23"/>
    <col min="2556" max="2556" width="4.28515625" style="23" customWidth="1"/>
    <col min="2557" max="2557" width="13.7109375" style="23" customWidth="1"/>
    <col min="2558" max="2558" width="3.85546875" style="23" customWidth="1"/>
    <col min="2559" max="2559" width="7" style="23" customWidth="1"/>
    <col min="2560" max="2560" width="5.28515625" style="23" customWidth="1"/>
    <col min="2561" max="2561" width="14.85546875" style="23" customWidth="1"/>
    <col min="2562" max="2562" width="3.7109375" style="23" customWidth="1"/>
    <col min="2563" max="2563" width="7.85546875" style="23" customWidth="1"/>
    <col min="2564" max="2564" width="3.85546875" style="23" customWidth="1"/>
    <col min="2565" max="2565" width="9" style="23" customWidth="1"/>
    <col min="2566" max="2566" width="3.7109375" style="23" customWidth="1"/>
    <col min="2567" max="2567" width="7.7109375" style="23" customWidth="1"/>
    <col min="2568" max="2568" width="5" style="23" customWidth="1"/>
    <col min="2569" max="2569" width="7.85546875" style="23" customWidth="1"/>
    <col min="2570" max="2811" width="9.140625" style="23"/>
    <col min="2812" max="2812" width="4.28515625" style="23" customWidth="1"/>
    <col min="2813" max="2813" width="13.7109375" style="23" customWidth="1"/>
    <col min="2814" max="2814" width="3.85546875" style="23" customWidth="1"/>
    <col min="2815" max="2815" width="7" style="23" customWidth="1"/>
    <col min="2816" max="2816" width="5.28515625" style="23" customWidth="1"/>
    <col min="2817" max="2817" width="14.85546875" style="23" customWidth="1"/>
    <col min="2818" max="2818" width="3.7109375" style="23" customWidth="1"/>
    <col min="2819" max="2819" width="7.85546875" style="23" customWidth="1"/>
    <col min="2820" max="2820" width="3.85546875" style="23" customWidth="1"/>
    <col min="2821" max="2821" width="9" style="23" customWidth="1"/>
    <col min="2822" max="2822" width="3.7109375" style="23" customWidth="1"/>
    <col min="2823" max="2823" width="7.7109375" style="23" customWidth="1"/>
    <col min="2824" max="2824" width="5" style="23" customWidth="1"/>
    <col min="2825" max="2825" width="7.85546875" style="23" customWidth="1"/>
    <col min="2826" max="3067" width="9.140625" style="23"/>
    <col min="3068" max="3068" width="4.28515625" style="23" customWidth="1"/>
    <col min="3069" max="3069" width="13.7109375" style="23" customWidth="1"/>
    <col min="3070" max="3070" width="3.85546875" style="23" customWidth="1"/>
    <col min="3071" max="3071" width="7" style="23" customWidth="1"/>
    <col min="3072" max="3072" width="5.28515625" style="23" customWidth="1"/>
    <col min="3073" max="3073" width="14.85546875" style="23" customWidth="1"/>
    <col min="3074" max="3074" width="3.7109375" style="23" customWidth="1"/>
    <col min="3075" max="3075" width="7.85546875" style="23" customWidth="1"/>
    <col min="3076" max="3076" width="3.85546875" style="23" customWidth="1"/>
    <col min="3077" max="3077" width="9" style="23" customWidth="1"/>
    <col min="3078" max="3078" width="3.7109375" style="23" customWidth="1"/>
    <col min="3079" max="3079" width="7.7109375" style="23" customWidth="1"/>
    <col min="3080" max="3080" width="5" style="23" customWidth="1"/>
    <col min="3081" max="3081" width="7.85546875" style="23" customWidth="1"/>
    <col min="3082" max="3323" width="9.140625" style="23"/>
    <col min="3324" max="3324" width="4.28515625" style="23" customWidth="1"/>
    <col min="3325" max="3325" width="13.7109375" style="23" customWidth="1"/>
    <col min="3326" max="3326" width="3.85546875" style="23" customWidth="1"/>
    <col min="3327" max="3327" width="7" style="23" customWidth="1"/>
    <col min="3328" max="3328" width="5.28515625" style="23" customWidth="1"/>
    <col min="3329" max="3329" width="14.85546875" style="23" customWidth="1"/>
    <col min="3330" max="3330" width="3.7109375" style="23" customWidth="1"/>
    <col min="3331" max="3331" width="7.85546875" style="23" customWidth="1"/>
    <col min="3332" max="3332" width="3.85546875" style="23" customWidth="1"/>
    <col min="3333" max="3333" width="9" style="23" customWidth="1"/>
    <col min="3334" max="3334" width="3.7109375" style="23" customWidth="1"/>
    <col min="3335" max="3335" width="7.7109375" style="23" customWidth="1"/>
    <col min="3336" max="3336" width="5" style="23" customWidth="1"/>
    <col min="3337" max="3337" width="7.85546875" style="23" customWidth="1"/>
    <col min="3338" max="3579" width="9.140625" style="23"/>
    <col min="3580" max="3580" width="4.28515625" style="23" customWidth="1"/>
    <col min="3581" max="3581" width="13.7109375" style="23" customWidth="1"/>
    <col min="3582" max="3582" width="3.85546875" style="23" customWidth="1"/>
    <col min="3583" max="3583" width="7" style="23" customWidth="1"/>
    <col min="3584" max="3584" width="5.28515625" style="23" customWidth="1"/>
    <col min="3585" max="3585" width="14.85546875" style="23" customWidth="1"/>
    <col min="3586" max="3586" width="3.7109375" style="23" customWidth="1"/>
    <col min="3587" max="3587" width="7.85546875" style="23" customWidth="1"/>
    <col min="3588" max="3588" width="3.85546875" style="23" customWidth="1"/>
    <col min="3589" max="3589" width="9" style="23" customWidth="1"/>
    <col min="3590" max="3590" width="3.7109375" style="23" customWidth="1"/>
    <col min="3591" max="3591" width="7.7109375" style="23" customWidth="1"/>
    <col min="3592" max="3592" width="5" style="23" customWidth="1"/>
    <col min="3593" max="3593" width="7.85546875" style="23" customWidth="1"/>
    <col min="3594" max="3835" width="9.140625" style="23"/>
    <col min="3836" max="3836" width="4.28515625" style="23" customWidth="1"/>
    <col min="3837" max="3837" width="13.7109375" style="23" customWidth="1"/>
    <col min="3838" max="3838" width="3.85546875" style="23" customWidth="1"/>
    <col min="3839" max="3839" width="7" style="23" customWidth="1"/>
    <col min="3840" max="3840" width="5.28515625" style="23" customWidth="1"/>
    <col min="3841" max="3841" width="14.85546875" style="23" customWidth="1"/>
    <col min="3842" max="3842" width="3.7109375" style="23" customWidth="1"/>
    <col min="3843" max="3843" width="7.85546875" style="23" customWidth="1"/>
    <col min="3844" max="3844" width="3.85546875" style="23" customWidth="1"/>
    <col min="3845" max="3845" width="9" style="23" customWidth="1"/>
    <col min="3846" max="3846" width="3.7109375" style="23" customWidth="1"/>
    <col min="3847" max="3847" width="7.7109375" style="23" customWidth="1"/>
    <col min="3848" max="3848" width="5" style="23" customWidth="1"/>
    <col min="3849" max="3849" width="7.85546875" style="23" customWidth="1"/>
    <col min="3850" max="4091" width="9.140625" style="23"/>
    <col min="4092" max="4092" width="4.28515625" style="23" customWidth="1"/>
    <col min="4093" max="4093" width="13.7109375" style="23" customWidth="1"/>
    <col min="4094" max="4094" width="3.85546875" style="23" customWidth="1"/>
    <col min="4095" max="4095" width="7" style="23" customWidth="1"/>
    <col min="4096" max="4096" width="5.28515625" style="23" customWidth="1"/>
    <col min="4097" max="4097" width="14.85546875" style="23" customWidth="1"/>
    <col min="4098" max="4098" width="3.7109375" style="23" customWidth="1"/>
    <col min="4099" max="4099" width="7.85546875" style="23" customWidth="1"/>
    <col min="4100" max="4100" width="3.85546875" style="23" customWidth="1"/>
    <col min="4101" max="4101" width="9" style="23" customWidth="1"/>
    <col min="4102" max="4102" width="3.7109375" style="23" customWidth="1"/>
    <col min="4103" max="4103" width="7.7109375" style="23" customWidth="1"/>
    <col min="4104" max="4104" width="5" style="23" customWidth="1"/>
    <col min="4105" max="4105" width="7.85546875" style="23" customWidth="1"/>
    <col min="4106" max="4347" width="9.140625" style="23"/>
    <col min="4348" max="4348" width="4.28515625" style="23" customWidth="1"/>
    <col min="4349" max="4349" width="13.7109375" style="23" customWidth="1"/>
    <col min="4350" max="4350" width="3.85546875" style="23" customWidth="1"/>
    <col min="4351" max="4351" width="7" style="23" customWidth="1"/>
    <col min="4352" max="4352" width="5.28515625" style="23" customWidth="1"/>
    <col min="4353" max="4353" width="14.85546875" style="23" customWidth="1"/>
    <col min="4354" max="4354" width="3.7109375" style="23" customWidth="1"/>
    <col min="4355" max="4355" width="7.85546875" style="23" customWidth="1"/>
    <col min="4356" max="4356" width="3.85546875" style="23" customWidth="1"/>
    <col min="4357" max="4357" width="9" style="23" customWidth="1"/>
    <col min="4358" max="4358" width="3.7109375" style="23" customWidth="1"/>
    <col min="4359" max="4359" width="7.7109375" style="23" customWidth="1"/>
    <col min="4360" max="4360" width="5" style="23" customWidth="1"/>
    <col min="4361" max="4361" width="7.85546875" style="23" customWidth="1"/>
    <col min="4362" max="4603" width="9.140625" style="23"/>
    <col min="4604" max="4604" width="4.28515625" style="23" customWidth="1"/>
    <col min="4605" max="4605" width="13.7109375" style="23" customWidth="1"/>
    <col min="4606" max="4606" width="3.85546875" style="23" customWidth="1"/>
    <col min="4607" max="4607" width="7" style="23" customWidth="1"/>
    <col min="4608" max="4608" width="5.28515625" style="23" customWidth="1"/>
    <col min="4609" max="4609" width="14.85546875" style="23" customWidth="1"/>
    <col min="4610" max="4610" width="3.7109375" style="23" customWidth="1"/>
    <col min="4611" max="4611" width="7.85546875" style="23" customWidth="1"/>
    <col min="4612" max="4612" width="3.85546875" style="23" customWidth="1"/>
    <col min="4613" max="4613" width="9" style="23" customWidth="1"/>
    <col min="4614" max="4614" width="3.7109375" style="23" customWidth="1"/>
    <col min="4615" max="4615" width="7.7109375" style="23" customWidth="1"/>
    <col min="4616" max="4616" width="5" style="23" customWidth="1"/>
    <col min="4617" max="4617" width="7.85546875" style="23" customWidth="1"/>
    <col min="4618" max="4859" width="9.140625" style="23"/>
    <col min="4860" max="4860" width="4.28515625" style="23" customWidth="1"/>
    <col min="4861" max="4861" width="13.7109375" style="23" customWidth="1"/>
    <col min="4862" max="4862" width="3.85546875" style="23" customWidth="1"/>
    <col min="4863" max="4863" width="7" style="23" customWidth="1"/>
    <col min="4864" max="4864" width="5.28515625" style="23" customWidth="1"/>
    <col min="4865" max="4865" width="14.85546875" style="23" customWidth="1"/>
    <col min="4866" max="4866" width="3.7109375" style="23" customWidth="1"/>
    <col min="4867" max="4867" width="7.85546875" style="23" customWidth="1"/>
    <col min="4868" max="4868" width="3.85546875" style="23" customWidth="1"/>
    <col min="4869" max="4869" width="9" style="23" customWidth="1"/>
    <col min="4870" max="4870" width="3.7109375" style="23" customWidth="1"/>
    <col min="4871" max="4871" width="7.7109375" style="23" customWidth="1"/>
    <col min="4872" max="4872" width="5" style="23" customWidth="1"/>
    <col min="4873" max="4873" width="7.85546875" style="23" customWidth="1"/>
    <col min="4874" max="5115" width="9.140625" style="23"/>
    <col min="5116" max="5116" width="4.28515625" style="23" customWidth="1"/>
    <col min="5117" max="5117" width="13.7109375" style="23" customWidth="1"/>
    <col min="5118" max="5118" width="3.85546875" style="23" customWidth="1"/>
    <col min="5119" max="5119" width="7" style="23" customWidth="1"/>
    <col min="5120" max="5120" width="5.28515625" style="23" customWidth="1"/>
    <col min="5121" max="5121" width="14.85546875" style="23" customWidth="1"/>
    <col min="5122" max="5122" width="3.7109375" style="23" customWidth="1"/>
    <col min="5123" max="5123" width="7.85546875" style="23" customWidth="1"/>
    <col min="5124" max="5124" width="3.85546875" style="23" customWidth="1"/>
    <col min="5125" max="5125" width="9" style="23" customWidth="1"/>
    <col min="5126" max="5126" width="3.7109375" style="23" customWidth="1"/>
    <col min="5127" max="5127" width="7.7109375" style="23" customWidth="1"/>
    <col min="5128" max="5128" width="5" style="23" customWidth="1"/>
    <col min="5129" max="5129" width="7.85546875" style="23" customWidth="1"/>
    <col min="5130" max="5371" width="9.140625" style="23"/>
    <col min="5372" max="5372" width="4.28515625" style="23" customWidth="1"/>
    <col min="5373" max="5373" width="13.7109375" style="23" customWidth="1"/>
    <col min="5374" max="5374" width="3.85546875" style="23" customWidth="1"/>
    <col min="5375" max="5375" width="7" style="23" customWidth="1"/>
    <col min="5376" max="5376" width="5.28515625" style="23" customWidth="1"/>
    <col min="5377" max="5377" width="14.85546875" style="23" customWidth="1"/>
    <col min="5378" max="5378" width="3.7109375" style="23" customWidth="1"/>
    <col min="5379" max="5379" width="7.85546875" style="23" customWidth="1"/>
    <col min="5380" max="5380" width="3.85546875" style="23" customWidth="1"/>
    <col min="5381" max="5381" width="9" style="23" customWidth="1"/>
    <col min="5382" max="5382" width="3.7109375" style="23" customWidth="1"/>
    <col min="5383" max="5383" width="7.7109375" style="23" customWidth="1"/>
    <col min="5384" max="5384" width="5" style="23" customWidth="1"/>
    <col min="5385" max="5385" width="7.85546875" style="23" customWidth="1"/>
    <col min="5386" max="5627" width="9.140625" style="23"/>
    <col min="5628" max="5628" width="4.28515625" style="23" customWidth="1"/>
    <col min="5629" max="5629" width="13.7109375" style="23" customWidth="1"/>
    <col min="5630" max="5630" width="3.85546875" style="23" customWidth="1"/>
    <col min="5631" max="5631" width="7" style="23" customWidth="1"/>
    <col min="5632" max="5632" width="5.28515625" style="23" customWidth="1"/>
    <col min="5633" max="5633" width="14.85546875" style="23" customWidth="1"/>
    <col min="5634" max="5634" width="3.7109375" style="23" customWidth="1"/>
    <col min="5635" max="5635" width="7.85546875" style="23" customWidth="1"/>
    <col min="5636" max="5636" width="3.85546875" style="23" customWidth="1"/>
    <col min="5637" max="5637" width="9" style="23" customWidth="1"/>
    <col min="5638" max="5638" width="3.7109375" style="23" customWidth="1"/>
    <col min="5639" max="5639" width="7.7109375" style="23" customWidth="1"/>
    <col min="5640" max="5640" width="5" style="23" customWidth="1"/>
    <col min="5641" max="5641" width="7.85546875" style="23" customWidth="1"/>
    <col min="5642" max="5883" width="9.140625" style="23"/>
    <col min="5884" max="5884" width="4.28515625" style="23" customWidth="1"/>
    <col min="5885" max="5885" width="13.7109375" style="23" customWidth="1"/>
    <col min="5886" max="5886" width="3.85546875" style="23" customWidth="1"/>
    <col min="5887" max="5887" width="7" style="23" customWidth="1"/>
    <col min="5888" max="5888" width="5.28515625" style="23" customWidth="1"/>
    <col min="5889" max="5889" width="14.85546875" style="23" customWidth="1"/>
    <col min="5890" max="5890" width="3.7109375" style="23" customWidth="1"/>
    <col min="5891" max="5891" width="7.85546875" style="23" customWidth="1"/>
    <col min="5892" max="5892" width="3.85546875" style="23" customWidth="1"/>
    <col min="5893" max="5893" width="9" style="23" customWidth="1"/>
    <col min="5894" max="5894" width="3.7109375" style="23" customWidth="1"/>
    <col min="5895" max="5895" width="7.7109375" style="23" customWidth="1"/>
    <col min="5896" max="5896" width="5" style="23" customWidth="1"/>
    <col min="5897" max="5897" width="7.85546875" style="23" customWidth="1"/>
    <col min="5898" max="6139" width="9.140625" style="23"/>
    <col min="6140" max="6140" width="4.28515625" style="23" customWidth="1"/>
    <col min="6141" max="6141" width="13.7109375" style="23" customWidth="1"/>
    <col min="6142" max="6142" width="3.85546875" style="23" customWidth="1"/>
    <col min="6143" max="6143" width="7" style="23" customWidth="1"/>
    <col min="6144" max="6144" width="5.28515625" style="23" customWidth="1"/>
    <col min="6145" max="6145" width="14.85546875" style="23" customWidth="1"/>
    <col min="6146" max="6146" width="3.7109375" style="23" customWidth="1"/>
    <col min="6147" max="6147" width="7.85546875" style="23" customWidth="1"/>
    <col min="6148" max="6148" width="3.85546875" style="23" customWidth="1"/>
    <col min="6149" max="6149" width="9" style="23" customWidth="1"/>
    <col min="6150" max="6150" width="3.7109375" style="23" customWidth="1"/>
    <col min="6151" max="6151" width="7.7109375" style="23" customWidth="1"/>
    <col min="6152" max="6152" width="5" style="23" customWidth="1"/>
    <col min="6153" max="6153" width="7.85546875" style="23" customWidth="1"/>
    <col min="6154" max="6395" width="9.140625" style="23"/>
    <col min="6396" max="6396" width="4.28515625" style="23" customWidth="1"/>
    <col min="6397" max="6397" width="13.7109375" style="23" customWidth="1"/>
    <col min="6398" max="6398" width="3.85546875" style="23" customWidth="1"/>
    <col min="6399" max="6399" width="7" style="23" customWidth="1"/>
    <col min="6400" max="6400" width="5.28515625" style="23" customWidth="1"/>
    <col min="6401" max="6401" width="14.85546875" style="23" customWidth="1"/>
    <col min="6402" max="6402" width="3.7109375" style="23" customWidth="1"/>
    <col min="6403" max="6403" width="7.85546875" style="23" customWidth="1"/>
    <col min="6404" max="6404" width="3.85546875" style="23" customWidth="1"/>
    <col min="6405" max="6405" width="9" style="23" customWidth="1"/>
    <col min="6406" max="6406" width="3.7109375" style="23" customWidth="1"/>
    <col min="6407" max="6407" width="7.7109375" style="23" customWidth="1"/>
    <col min="6408" max="6408" width="5" style="23" customWidth="1"/>
    <col min="6409" max="6409" width="7.85546875" style="23" customWidth="1"/>
    <col min="6410" max="6651" width="9.140625" style="23"/>
    <col min="6652" max="6652" width="4.28515625" style="23" customWidth="1"/>
    <col min="6653" max="6653" width="13.7109375" style="23" customWidth="1"/>
    <col min="6654" max="6654" width="3.85546875" style="23" customWidth="1"/>
    <col min="6655" max="6655" width="7" style="23" customWidth="1"/>
    <col min="6656" max="6656" width="5.28515625" style="23" customWidth="1"/>
    <col min="6657" max="6657" width="14.85546875" style="23" customWidth="1"/>
    <col min="6658" max="6658" width="3.7109375" style="23" customWidth="1"/>
    <col min="6659" max="6659" width="7.85546875" style="23" customWidth="1"/>
    <col min="6660" max="6660" width="3.85546875" style="23" customWidth="1"/>
    <col min="6661" max="6661" width="9" style="23" customWidth="1"/>
    <col min="6662" max="6662" width="3.7109375" style="23" customWidth="1"/>
    <col min="6663" max="6663" width="7.7109375" style="23" customWidth="1"/>
    <col min="6664" max="6664" width="5" style="23" customWidth="1"/>
    <col min="6665" max="6665" width="7.85546875" style="23" customWidth="1"/>
    <col min="6666" max="6907" width="9.140625" style="23"/>
    <col min="6908" max="6908" width="4.28515625" style="23" customWidth="1"/>
    <col min="6909" max="6909" width="13.7109375" style="23" customWidth="1"/>
    <col min="6910" max="6910" width="3.85546875" style="23" customWidth="1"/>
    <col min="6911" max="6911" width="7" style="23" customWidth="1"/>
    <col min="6912" max="6912" width="5.28515625" style="23" customWidth="1"/>
    <col min="6913" max="6913" width="14.85546875" style="23" customWidth="1"/>
    <col min="6914" max="6914" width="3.7109375" style="23" customWidth="1"/>
    <col min="6915" max="6915" width="7.85546875" style="23" customWidth="1"/>
    <col min="6916" max="6916" width="3.85546875" style="23" customWidth="1"/>
    <col min="6917" max="6917" width="9" style="23" customWidth="1"/>
    <col min="6918" max="6918" width="3.7109375" style="23" customWidth="1"/>
    <col min="6919" max="6919" width="7.7109375" style="23" customWidth="1"/>
    <col min="6920" max="6920" width="5" style="23" customWidth="1"/>
    <col min="6921" max="6921" width="7.85546875" style="23" customWidth="1"/>
    <col min="6922" max="7163" width="9.140625" style="23"/>
    <col min="7164" max="7164" width="4.28515625" style="23" customWidth="1"/>
    <col min="7165" max="7165" width="13.7109375" style="23" customWidth="1"/>
    <col min="7166" max="7166" width="3.85546875" style="23" customWidth="1"/>
    <col min="7167" max="7167" width="7" style="23" customWidth="1"/>
    <col min="7168" max="7168" width="5.28515625" style="23" customWidth="1"/>
    <col min="7169" max="7169" width="14.85546875" style="23" customWidth="1"/>
    <col min="7170" max="7170" width="3.7109375" style="23" customWidth="1"/>
    <col min="7171" max="7171" width="7.85546875" style="23" customWidth="1"/>
    <col min="7172" max="7172" width="3.85546875" style="23" customWidth="1"/>
    <col min="7173" max="7173" width="9" style="23" customWidth="1"/>
    <col min="7174" max="7174" width="3.7109375" style="23" customWidth="1"/>
    <col min="7175" max="7175" width="7.7109375" style="23" customWidth="1"/>
    <col min="7176" max="7176" width="5" style="23" customWidth="1"/>
    <col min="7177" max="7177" width="7.85546875" style="23" customWidth="1"/>
    <col min="7178" max="7419" width="9.140625" style="23"/>
    <col min="7420" max="7420" width="4.28515625" style="23" customWidth="1"/>
    <col min="7421" max="7421" width="13.7109375" style="23" customWidth="1"/>
    <col min="7422" max="7422" width="3.85546875" style="23" customWidth="1"/>
    <col min="7423" max="7423" width="7" style="23" customWidth="1"/>
    <col min="7424" max="7424" width="5.28515625" style="23" customWidth="1"/>
    <col min="7425" max="7425" width="14.85546875" style="23" customWidth="1"/>
    <col min="7426" max="7426" width="3.7109375" style="23" customWidth="1"/>
    <col min="7427" max="7427" width="7.85546875" style="23" customWidth="1"/>
    <col min="7428" max="7428" width="3.85546875" style="23" customWidth="1"/>
    <col min="7429" max="7429" width="9" style="23" customWidth="1"/>
    <col min="7430" max="7430" width="3.7109375" style="23" customWidth="1"/>
    <col min="7431" max="7431" width="7.7109375" style="23" customWidth="1"/>
    <col min="7432" max="7432" width="5" style="23" customWidth="1"/>
    <col min="7433" max="7433" width="7.85546875" style="23" customWidth="1"/>
    <col min="7434" max="7675" width="9.140625" style="23"/>
    <col min="7676" max="7676" width="4.28515625" style="23" customWidth="1"/>
    <col min="7677" max="7677" width="13.7109375" style="23" customWidth="1"/>
    <col min="7678" max="7678" width="3.85546875" style="23" customWidth="1"/>
    <col min="7679" max="7679" width="7" style="23" customWidth="1"/>
    <col min="7680" max="7680" width="5.28515625" style="23" customWidth="1"/>
    <col min="7681" max="7681" width="14.85546875" style="23" customWidth="1"/>
    <col min="7682" max="7682" width="3.7109375" style="23" customWidth="1"/>
    <col min="7683" max="7683" width="7.85546875" style="23" customWidth="1"/>
    <col min="7684" max="7684" width="3.85546875" style="23" customWidth="1"/>
    <col min="7685" max="7685" width="9" style="23" customWidth="1"/>
    <col min="7686" max="7686" width="3.7109375" style="23" customWidth="1"/>
    <col min="7687" max="7687" width="7.7109375" style="23" customWidth="1"/>
    <col min="7688" max="7688" width="5" style="23" customWidth="1"/>
    <col min="7689" max="7689" width="7.85546875" style="23" customWidth="1"/>
    <col min="7690" max="7931" width="9.140625" style="23"/>
    <col min="7932" max="7932" width="4.28515625" style="23" customWidth="1"/>
    <col min="7933" max="7933" width="13.7109375" style="23" customWidth="1"/>
    <col min="7934" max="7934" width="3.85546875" style="23" customWidth="1"/>
    <col min="7935" max="7935" width="7" style="23" customWidth="1"/>
    <col min="7936" max="7936" width="5.28515625" style="23" customWidth="1"/>
    <col min="7937" max="7937" width="14.85546875" style="23" customWidth="1"/>
    <col min="7938" max="7938" width="3.7109375" style="23" customWidth="1"/>
    <col min="7939" max="7939" width="7.85546875" style="23" customWidth="1"/>
    <col min="7940" max="7940" width="3.85546875" style="23" customWidth="1"/>
    <col min="7941" max="7941" width="9" style="23" customWidth="1"/>
    <col min="7942" max="7942" width="3.7109375" style="23" customWidth="1"/>
    <col min="7943" max="7943" width="7.7109375" style="23" customWidth="1"/>
    <col min="7944" max="7944" width="5" style="23" customWidth="1"/>
    <col min="7945" max="7945" width="7.85546875" style="23" customWidth="1"/>
    <col min="7946" max="8187" width="9.140625" style="23"/>
    <col min="8188" max="8188" width="4.28515625" style="23" customWidth="1"/>
    <col min="8189" max="8189" width="13.7109375" style="23" customWidth="1"/>
    <col min="8190" max="8190" width="3.85546875" style="23" customWidth="1"/>
    <col min="8191" max="8191" width="7" style="23" customWidth="1"/>
    <col min="8192" max="8192" width="5.28515625" style="23" customWidth="1"/>
    <col min="8193" max="8193" width="14.85546875" style="23" customWidth="1"/>
    <col min="8194" max="8194" width="3.7109375" style="23" customWidth="1"/>
    <col min="8195" max="8195" width="7.85546875" style="23" customWidth="1"/>
    <col min="8196" max="8196" width="3.85546875" style="23" customWidth="1"/>
    <col min="8197" max="8197" width="9" style="23" customWidth="1"/>
    <col min="8198" max="8198" width="3.7109375" style="23" customWidth="1"/>
    <col min="8199" max="8199" width="7.7109375" style="23" customWidth="1"/>
    <col min="8200" max="8200" width="5" style="23" customWidth="1"/>
    <col min="8201" max="8201" width="7.85546875" style="23" customWidth="1"/>
    <col min="8202" max="8443" width="9.140625" style="23"/>
    <col min="8444" max="8444" width="4.28515625" style="23" customWidth="1"/>
    <col min="8445" max="8445" width="13.7109375" style="23" customWidth="1"/>
    <col min="8446" max="8446" width="3.85546875" style="23" customWidth="1"/>
    <col min="8447" max="8447" width="7" style="23" customWidth="1"/>
    <col min="8448" max="8448" width="5.28515625" style="23" customWidth="1"/>
    <col min="8449" max="8449" width="14.85546875" style="23" customWidth="1"/>
    <col min="8450" max="8450" width="3.7109375" style="23" customWidth="1"/>
    <col min="8451" max="8451" width="7.85546875" style="23" customWidth="1"/>
    <col min="8452" max="8452" width="3.85546875" style="23" customWidth="1"/>
    <col min="8453" max="8453" width="9" style="23" customWidth="1"/>
    <col min="8454" max="8454" width="3.7109375" style="23" customWidth="1"/>
    <col min="8455" max="8455" width="7.7109375" style="23" customWidth="1"/>
    <col min="8456" max="8456" width="5" style="23" customWidth="1"/>
    <col min="8457" max="8457" width="7.85546875" style="23" customWidth="1"/>
    <col min="8458" max="8699" width="9.140625" style="23"/>
    <col min="8700" max="8700" width="4.28515625" style="23" customWidth="1"/>
    <col min="8701" max="8701" width="13.7109375" style="23" customWidth="1"/>
    <col min="8702" max="8702" width="3.85546875" style="23" customWidth="1"/>
    <col min="8703" max="8703" width="7" style="23" customWidth="1"/>
    <col min="8704" max="8704" width="5.28515625" style="23" customWidth="1"/>
    <col min="8705" max="8705" width="14.85546875" style="23" customWidth="1"/>
    <col min="8706" max="8706" width="3.7109375" style="23" customWidth="1"/>
    <col min="8707" max="8707" width="7.85546875" style="23" customWidth="1"/>
    <col min="8708" max="8708" width="3.85546875" style="23" customWidth="1"/>
    <col min="8709" max="8709" width="9" style="23" customWidth="1"/>
    <col min="8710" max="8710" width="3.7109375" style="23" customWidth="1"/>
    <col min="8711" max="8711" width="7.7109375" style="23" customWidth="1"/>
    <col min="8712" max="8712" width="5" style="23" customWidth="1"/>
    <col min="8713" max="8713" width="7.85546875" style="23" customWidth="1"/>
    <col min="8714" max="8955" width="9.140625" style="23"/>
    <col min="8956" max="8956" width="4.28515625" style="23" customWidth="1"/>
    <col min="8957" max="8957" width="13.7109375" style="23" customWidth="1"/>
    <col min="8958" max="8958" width="3.85546875" style="23" customWidth="1"/>
    <col min="8959" max="8959" width="7" style="23" customWidth="1"/>
    <col min="8960" max="8960" width="5.28515625" style="23" customWidth="1"/>
    <col min="8961" max="8961" width="14.85546875" style="23" customWidth="1"/>
    <col min="8962" max="8962" width="3.7109375" style="23" customWidth="1"/>
    <col min="8963" max="8963" width="7.85546875" style="23" customWidth="1"/>
    <col min="8964" max="8964" width="3.85546875" style="23" customWidth="1"/>
    <col min="8965" max="8965" width="9" style="23" customWidth="1"/>
    <col min="8966" max="8966" width="3.7109375" style="23" customWidth="1"/>
    <col min="8967" max="8967" width="7.7109375" style="23" customWidth="1"/>
    <col min="8968" max="8968" width="5" style="23" customWidth="1"/>
    <col min="8969" max="8969" width="7.85546875" style="23" customWidth="1"/>
    <col min="8970" max="9211" width="9.140625" style="23"/>
    <col min="9212" max="9212" width="4.28515625" style="23" customWidth="1"/>
    <col min="9213" max="9213" width="13.7109375" style="23" customWidth="1"/>
    <col min="9214" max="9214" width="3.85546875" style="23" customWidth="1"/>
    <col min="9215" max="9215" width="7" style="23" customWidth="1"/>
    <col min="9216" max="9216" width="5.28515625" style="23" customWidth="1"/>
    <col min="9217" max="9217" width="14.85546875" style="23" customWidth="1"/>
    <col min="9218" max="9218" width="3.7109375" style="23" customWidth="1"/>
    <col min="9219" max="9219" width="7.85546875" style="23" customWidth="1"/>
    <col min="9220" max="9220" width="3.85546875" style="23" customWidth="1"/>
    <col min="9221" max="9221" width="9" style="23" customWidth="1"/>
    <col min="9222" max="9222" width="3.7109375" style="23" customWidth="1"/>
    <col min="9223" max="9223" width="7.7109375" style="23" customWidth="1"/>
    <col min="9224" max="9224" width="5" style="23" customWidth="1"/>
    <col min="9225" max="9225" width="7.85546875" style="23" customWidth="1"/>
    <col min="9226" max="9467" width="9.140625" style="23"/>
    <col min="9468" max="9468" width="4.28515625" style="23" customWidth="1"/>
    <col min="9469" max="9469" width="13.7109375" style="23" customWidth="1"/>
    <col min="9470" max="9470" width="3.85546875" style="23" customWidth="1"/>
    <col min="9471" max="9471" width="7" style="23" customWidth="1"/>
    <col min="9472" max="9472" width="5.28515625" style="23" customWidth="1"/>
    <col min="9473" max="9473" width="14.85546875" style="23" customWidth="1"/>
    <col min="9474" max="9474" width="3.7109375" style="23" customWidth="1"/>
    <col min="9475" max="9475" width="7.85546875" style="23" customWidth="1"/>
    <col min="9476" max="9476" width="3.85546875" style="23" customWidth="1"/>
    <col min="9477" max="9477" width="9" style="23" customWidth="1"/>
    <col min="9478" max="9478" width="3.7109375" style="23" customWidth="1"/>
    <col min="9479" max="9479" width="7.7109375" style="23" customWidth="1"/>
    <col min="9480" max="9480" width="5" style="23" customWidth="1"/>
    <col min="9481" max="9481" width="7.85546875" style="23" customWidth="1"/>
    <col min="9482" max="9723" width="9.140625" style="23"/>
    <col min="9724" max="9724" width="4.28515625" style="23" customWidth="1"/>
    <col min="9725" max="9725" width="13.7109375" style="23" customWidth="1"/>
    <col min="9726" max="9726" width="3.85546875" style="23" customWidth="1"/>
    <col min="9727" max="9727" width="7" style="23" customWidth="1"/>
    <col min="9728" max="9728" width="5.28515625" style="23" customWidth="1"/>
    <col min="9729" max="9729" width="14.85546875" style="23" customWidth="1"/>
    <col min="9730" max="9730" width="3.7109375" style="23" customWidth="1"/>
    <col min="9731" max="9731" width="7.85546875" style="23" customWidth="1"/>
    <col min="9732" max="9732" width="3.85546875" style="23" customWidth="1"/>
    <col min="9733" max="9733" width="9" style="23" customWidth="1"/>
    <col min="9734" max="9734" width="3.7109375" style="23" customWidth="1"/>
    <col min="9735" max="9735" width="7.7109375" style="23" customWidth="1"/>
    <col min="9736" max="9736" width="5" style="23" customWidth="1"/>
    <col min="9737" max="9737" width="7.85546875" style="23" customWidth="1"/>
    <col min="9738" max="9979" width="9.140625" style="23"/>
    <col min="9980" max="9980" width="4.28515625" style="23" customWidth="1"/>
    <col min="9981" max="9981" width="13.7109375" style="23" customWidth="1"/>
    <col min="9982" max="9982" width="3.85546875" style="23" customWidth="1"/>
    <col min="9983" max="9983" width="7" style="23" customWidth="1"/>
    <col min="9984" max="9984" width="5.28515625" style="23" customWidth="1"/>
    <col min="9985" max="9985" width="14.85546875" style="23" customWidth="1"/>
    <col min="9986" max="9986" width="3.7109375" style="23" customWidth="1"/>
    <col min="9987" max="9987" width="7.85546875" style="23" customWidth="1"/>
    <col min="9988" max="9988" width="3.85546875" style="23" customWidth="1"/>
    <col min="9989" max="9989" width="9" style="23" customWidth="1"/>
    <col min="9990" max="9990" width="3.7109375" style="23" customWidth="1"/>
    <col min="9991" max="9991" width="7.7109375" style="23" customWidth="1"/>
    <col min="9992" max="9992" width="5" style="23" customWidth="1"/>
    <col min="9993" max="9993" width="7.85546875" style="23" customWidth="1"/>
    <col min="9994" max="10235" width="9.140625" style="23"/>
    <col min="10236" max="10236" width="4.28515625" style="23" customWidth="1"/>
    <col min="10237" max="10237" width="13.7109375" style="23" customWidth="1"/>
    <col min="10238" max="10238" width="3.85546875" style="23" customWidth="1"/>
    <col min="10239" max="10239" width="7" style="23" customWidth="1"/>
    <col min="10240" max="10240" width="5.28515625" style="23" customWidth="1"/>
    <col min="10241" max="10241" width="14.85546875" style="23" customWidth="1"/>
    <col min="10242" max="10242" width="3.7109375" style="23" customWidth="1"/>
    <col min="10243" max="10243" width="7.85546875" style="23" customWidth="1"/>
    <col min="10244" max="10244" width="3.85546875" style="23" customWidth="1"/>
    <col min="10245" max="10245" width="9" style="23" customWidth="1"/>
    <col min="10246" max="10246" width="3.7109375" style="23" customWidth="1"/>
    <col min="10247" max="10247" width="7.7109375" style="23" customWidth="1"/>
    <col min="10248" max="10248" width="5" style="23" customWidth="1"/>
    <col min="10249" max="10249" width="7.85546875" style="23" customWidth="1"/>
    <col min="10250" max="10491" width="9.140625" style="23"/>
    <col min="10492" max="10492" width="4.28515625" style="23" customWidth="1"/>
    <col min="10493" max="10493" width="13.7109375" style="23" customWidth="1"/>
    <col min="10494" max="10494" width="3.85546875" style="23" customWidth="1"/>
    <col min="10495" max="10495" width="7" style="23" customWidth="1"/>
    <col min="10496" max="10496" width="5.28515625" style="23" customWidth="1"/>
    <col min="10497" max="10497" width="14.85546875" style="23" customWidth="1"/>
    <col min="10498" max="10498" width="3.7109375" style="23" customWidth="1"/>
    <col min="10499" max="10499" width="7.85546875" style="23" customWidth="1"/>
    <col min="10500" max="10500" width="3.85546875" style="23" customWidth="1"/>
    <col min="10501" max="10501" width="9" style="23" customWidth="1"/>
    <col min="10502" max="10502" width="3.7109375" style="23" customWidth="1"/>
    <col min="10503" max="10503" width="7.7109375" style="23" customWidth="1"/>
    <col min="10504" max="10504" width="5" style="23" customWidth="1"/>
    <col min="10505" max="10505" width="7.85546875" style="23" customWidth="1"/>
    <col min="10506" max="10747" width="9.140625" style="23"/>
    <col min="10748" max="10748" width="4.28515625" style="23" customWidth="1"/>
    <col min="10749" max="10749" width="13.7109375" style="23" customWidth="1"/>
    <col min="10750" max="10750" width="3.85546875" style="23" customWidth="1"/>
    <col min="10751" max="10751" width="7" style="23" customWidth="1"/>
    <col min="10752" max="10752" width="5.28515625" style="23" customWidth="1"/>
    <col min="10753" max="10753" width="14.85546875" style="23" customWidth="1"/>
    <col min="10754" max="10754" width="3.7109375" style="23" customWidth="1"/>
    <col min="10755" max="10755" width="7.85546875" style="23" customWidth="1"/>
    <col min="10756" max="10756" width="3.85546875" style="23" customWidth="1"/>
    <col min="10757" max="10757" width="9" style="23" customWidth="1"/>
    <col min="10758" max="10758" width="3.7109375" style="23" customWidth="1"/>
    <col min="10759" max="10759" width="7.7109375" style="23" customWidth="1"/>
    <col min="10760" max="10760" width="5" style="23" customWidth="1"/>
    <col min="10761" max="10761" width="7.85546875" style="23" customWidth="1"/>
    <col min="10762" max="11003" width="9.140625" style="23"/>
    <col min="11004" max="11004" width="4.28515625" style="23" customWidth="1"/>
    <col min="11005" max="11005" width="13.7109375" style="23" customWidth="1"/>
    <col min="11006" max="11006" width="3.85546875" style="23" customWidth="1"/>
    <col min="11007" max="11007" width="7" style="23" customWidth="1"/>
    <col min="11008" max="11008" width="5.28515625" style="23" customWidth="1"/>
    <col min="11009" max="11009" width="14.85546875" style="23" customWidth="1"/>
    <col min="11010" max="11010" width="3.7109375" style="23" customWidth="1"/>
    <col min="11011" max="11011" width="7.85546875" style="23" customWidth="1"/>
    <col min="11012" max="11012" width="3.85546875" style="23" customWidth="1"/>
    <col min="11013" max="11013" width="9" style="23" customWidth="1"/>
    <col min="11014" max="11014" width="3.7109375" style="23" customWidth="1"/>
    <col min="11015" max="11015" width="7.7109375" style="23" customWidth="1"/>
    <col min="11016" max="11016" width="5" style="23" customWidth="1"/>
    <col min="11017" max="11017" width="7.85546875" style="23" customWidth="1"/>
    <col min="11018" max="11259" width="9.140625" style="23"/>
    <col min="11260" max="11260" width="4.28515625" style="23" customWidth="1"/>
    <col min="11261" max="11261" width="13.7109375" style="23" customWidth="1"/>
    <col min="11262" max="11262" width="3.85546875" style="23" customWidth="1"/>
    <col min="11263" max="11263" width="7" style="23" customWidth="1"/>
    <col min="11264" max="11264" width="5.28515625" style="23" customWidth="1"/>
    <col min="11265" max="11265" width="14.85546875" style="23" customWidth="1"/>
    <col min="11266" max="11266" width="3.7109375" style="23" customWidth="1"/>
    <col min="11267" max="11267" width="7.85546875" style="23" customWidth="1"/>
    <col min="11268" max="11268" width="3.85546875" style="23" customWidth="1"/>
    <col min="11269" max="11269" width="9" style="23" customWidth="1"/>
    <col min="11270" max="11270" width="3.7109375" style="23" customWidth="1"/>
    <col min="11271" max="11271" width="7.7109375" style="23" customWidth="1"/>
    <col min="11272" max="11272" width="5" style="23" customWidth="1"/>
    <col min="11273" max="11273" width="7.85546875" style="23" customWidth="1"/>
    <col min="11274" max="11515" width="9.140625" style="23"/>
    <col min="11516" max="11516" width="4.28515625" style="23" customWidth="1"/>
    <col min="11517" max="11517" width="13.7109375" style="23" customWidth="1"/>
    <col min="11518" max="11518" width="3.85546875" style="23" customWidth="1"/>
    <col min="11519" max="11519" width="7" style="23" customWidth="1"/>
    <col min="11520" max="11520" width="5.28515625" style="23" customWidth="1"/>
    <col min="11521" max="11521" width="14.85546875" style="23" customWidth="1"/>
    <col min="11522" max="11522" width="3.7109375" style="23" customWidth="1"/>
    <col min="11523" max="11523" width="7.85546875" style="23" customWidth="1"/>
    <col min="11524" max="11524" width="3.85546875" style="23" customWidth="1"/>
    <col min="11525" max="11525" width="9" style="23" customWidth="1"/>
    <col min="11526" max="11526" width="3.7109375" style="23" customWidth="1"/>
    <col min="11527" max="11527" width="7.7109375" style="23" customWidth="1"/>
    <col min="11528" max="11528" width="5" style="23" customWidth="1"/>
    <col min="11529" max="11529" width="7.85546875" style="23" customWidth="1"/>
    <col min="11530" max="11771" width="9.140625" style="23"/>
    <col min="11772" max="11772" width="4.28515625" style="23" customWidth="1"/>
    <col min="11773" max="11773" width="13.7109375" style="23" customWidth="1"/>
    <col min="11774" max="11774" width="3.85546875" style="23" customWidth="1"/>
    <col min="11775" max="11775" width="7" style="23" customWidth="1"/>
    <col min="11776" max="11776" width="5.28515625" style="23" customWidth="1"/>
    <col min="11777" max="11777" width="14.85546875" style="23" customWidth="1"/>
    <col min="11778" max="11778" width="3.7109375" style="23" customWidth="1"/>
    <col min="11779" max="11779" width="7.85546875" style="23" customWidth="1"/>
    <col min="11780" max="11780" width="3.85546875" style="23" customWidth="1"/>
    <col min="11781" max="11781" width="9" style="23" customWidth="1"/>
    <col min="11782" max="11782" width="3.7109375" style="23" customWidth="1"/>
    <col min="11783" max="11783" width="7.7109375" style="23" customWidth="1"/>
    <col min="11784" max="11784" width="5" style="23" customWidth="1"/>
    <col min="11785" max="11785" width="7.85546875" style="23" customWidth="1"/>
    <col min="11786" max="12027" width="9.140625" style="23"/>
    <col min="12028" max="12028" width="4.28515625" style="23" customWidth="1"/>
    <col min="12029" max="12029" width="13.7109375" style="23" customWidth="1"/>
    <col min="12030" max="12030" width="3.85546875" style="23" customWidth="1"/>
    <col min="12031" max="12031" width="7" style="23" customWidth="1"/>
    <col min="12032" max="12032" width="5.28515625" style="23" customWidth="1"/>
    <col min="12033" max="12033" width="14.85546875" style="23" customWidth="1"/>
    <col min="12034" max="12034" width="3.7109375" style="23" customWidth="1"/>
    <col min="12035" max="12035" width="7.85546875" style="23" customWidth="1"/>
    <col min="12036" max="12036" width="3.85546875" style="23" customWidth="1"/>
    <col min="12037" max="12037" width="9" style="23" customWidth="1"/>
    <col min="12038" max="12038" width="3.7109375" style="23" customWidth="1"/>
    <col min="12039" max="12039" width="7.7109375" style="23" customWidth="1"/>
    <col min="12040" max="12040" width="5" style="23" customWidth="1"/>
    <col min="12041" max="12041" width="7.85546875" style="23" customWidth="1"/>
    <col min="12042" max="12283" width="9.140625" style="23"/>
    <col min="12284" max="12284" width="4.28515625" style="23" customWidth="1"/>
    <col min="12285" max="12285" width="13.7109375" style="23" customWidth="1"/>
    <col min="12286" max="12286" width="3.85546875" style="23" customWidth="1"/>
    <col min="12287" max="12287" width="7" style="23" customWidth="1"/>
    <col min="12288" max="12288" width="5.28515625" style="23" customWidth="1"/>
    <col min="12289" max="12289" width="14.85546875" style="23" customWidth="1"/>
    <col min="12290" max="12290" width="3.7109375" style="23" customWidth="1"/>
    <col min="12291" max="12291" width="7.85546875" style="23" customWidth="1"/>
    <col min="12292" max="12292" width="3.85546875" style="23" customWidth="1"/>
    <col min="12293" max="12293" width="9" style="23" customWidth="1"/>
    <col min="12294" max="12294" width="3.7109375" style="23" customWidth="1"/>
    <col min="12295" max="12295" width="7.7109375" style="23" customWidth="1"/>
    <col min="12296" max="12296" width="5" style="23" customWidth="1"/>
    <col min="12297" max="12297" width="7.85546875" style="23" customWidth="1"/>
    <col min="12298" max="12539" width="9.140625" style="23"/>
    <col min="12540" max="12540" width="4.28515625" style="23" customWidth="1"/>
    <col min="12541" max="12541" width="13.7109375" style="23" customWidth="1"/>
    <col min="12542" max="12542" width="3.85546875" style="23" customWidth="1"/>
    <col min="12543" max="12543" width="7" style="23" customWidth="1"/>
    <col min="12544" max="12544" width="5.28515625" style="23" customWidth="1"/>
    <col min="12545" max="12545" width="14.85546875" style="23" customWidth="1"/>
    <col min="12546" max="12546" width="3.7109375" style="23" customWidth="1"/>
    <col min="12547" max="12547" width="7.85546875" style="23" customWidth="1"/>
    <col min="12548" max="12548" width="3.85546875" style="23" customWidth="1"/>
    <col min="12549" max="12549" width="9" style="23" customWidth="1"/>
    <col min="12550" max="12550" width="3.7109375" style="23" customWidth="1"/>
    <col min="12551" max="12551" width="7.7109375" style="23" customWidth="1"/>
    <col min="12552" max="12552" width="5" style="23" customWidth="1"/>
    <col min="12553" max="12553" width="7.85546875" style="23" customWidth="1"/>
    <col min="12554" max="12795" width="9.140625" style="23"/>
    <col min="12796" max="12796" width="4.28515625" style="23" customWidth="1"/>
    <col min="12797" max="12797" width="13.7109375" style="23" customWidth="1"/>
    <col min="12798" max="12798" width="3.85546875" style="23" customWidth="1"/>
    <col min="12799" max="12799" width="7" style="23" customWidth="1"/>
    <col min="12800" max="12800" width="5.28515625" style="23" customWidth="1"/>
    <col min="12801" max="12801" width="14.85546875" style="23" customWidth="1"/>
    <col min="12802" max="12802" width="3.7109375" style="23" customWidth="1"/>
    <col min="12803" max="12803" width="7.85546875" style="23" customWidth="1"/>
    <col min="12804" max="12804" width="3.85546875" style="23" customWidth="1"/>
    <col min="12805" max="12805" width="9" style="23" customWidth="1"/>
    <col min="12806" max="12806" width="3.7109375" style="23" customWidth="1"/>
    <col min="12807" max="12807" width="7.7109375" style="23" customWidth="1"/>
    <col min="12808" max="12808" width="5" style="23" customWidth="1"/>
    <col min="12809" max="12809" width="7.85546875" style="23" customWidth="1"/>
    <col min="12810" max="13051" width="9.140625" style="23"/>
    <col min="13052" max="13052" width="4.28515625" style="23" customWidth="1"/>
    <col min="13053" max="13053" width="13.7109375" style="23" customWidth="1"/>
    <col min="13054" max="13054" width="3.85546875" style="23" customWidth="1"/>
    <col min="13055" max="13055" width="7" style="23" customWidth="1"/>
    <col min="13056" max="13056" width="5.28515625" style="23" customWidth="1"/>
    <col min="13057" max="13057" width="14.85546875" style="23" customWidth="1"/>
    <col min="13058" max="13058" width="3.7109375" style="23" customWidth="1"/>
    <col min="13059" max="13059" width="7.85546875" style="23" customWidth="1"/>
    <col min="13060" max="13060" width="3.85546875" style="23" customWidth="1"/>
    <col min="13061" max="13061" width="9" style="23" customWidth="1"/>
    <col min="13062" max="13062" width="3.7109375" style="23" customWidth="1"/>
    <col min="13063" max="13063" width="7.7109375" style="23" customWidth="1"/>
    <col min="13064" max="13064" width="5" style="23" customWidth="1"/>
    <col min="13065" max="13065" width="7.85546875" style="23" customWidth="1"/>
    <col min="13066" max="13307" width="9.140625" style="23"/>
    <col min="13308" max="13308" width="4.28515625" style="23" customWidth="1"/>
    <col min="13309" max="13309" width="13.7109375" style="23" customWidth="1"/>
    <col min="13310" max="13310" width="3.85546875" style="23" customWidth="1"/>
    <col min="13311" max="13311" width="7" style="23" customWidth="1"/>
    <col min="13312" max="13312" width="5.28515625" style="23" customWidth="1"/>
    <col min="13313" max="13313" width="14.85546875" style="23" customWidth="1"/>
    <col min="13314" max="13314" width="3.7109375" style="23" customWidth="1"/>
    <col min="13315" max="13315" width="7.85546875" style="23" customWidth="1"/>
    <col min="13316" max="13316" width="3.85546875" style="23" customWidth="1"/>
    <col min="13317" max="13317" width="9" style="23" customWidth="1"/>
    <col min="13318" max="13318" width="3.7109375" style="23" customWidth="1"/>
    <col min="13319" max="13319" width="7.7109375" style="23" customWidth="1"/>
    <col min="13320" max="13320" width="5" style="23" customWidth="1"/>
    <col min="13321" max="13321" width="7.85546875" style="23" customWidth="1"/>
    <col min="13322" max="13563" width="9.140625" style="23"/>
    <col min="13564" max="13564" width="4.28515625" style="23" customWidth="1"/>
    <col min="13565" max="13565" width="13.7109375" style="23" customWidth="1"/>
    <col min="13566" max="13566" width="3.85546875" style="23" customWidth="1"/>
    <col min="13567" max="13567" width="7" style="23" customWidth="1"/>
    <col min="13568" max="13568" width="5.28515625" style="23" customWidth="1"/>
    <col min="13569" max="13569" width="14.85546875" style="23" customWidth="1"/>
    <col min="13570" max="13570" width="3.7109375" style="23" customWidth="1"/>
    <col min="13571" max="13571" width="7.85546875" style="23" customWidth="1"/>
    <col min="13572" max="13572" width="3.85546875" style="23" customWidth="1"/>
    <col min="13573" max="13573" width="9" style="23" customWidth="1"/>
    <col min="13574" max="13574" width="3.7109375" style="23" customWidth="1"/>
    <col min="13575" max="13575" width="7.7109375" style="23" customWidth="1"/>
    <col min="13576" max="13576" width="5" style="23" customWidth="1"/>
    <col min="13577" max="13577" width="7.85546875" style="23" customWidth="1"/>
    <col min="13578" max="13819" width="9.140625" style="23"/>
    <col min="13820" max="13820" width="4.28515625" style="23" customWidth="1"/>
    <col min="13821" max="13821" width="13.7109375" style="23" customWidth="1"/>
    <col min="13822" max="13822" width="3.85546875" style="23" customWidth="1"/>
    <col min="13823" max="13823" width="7" style="23" customWidth="1"/>
    <col min="13824" max="13824" width="5.28515625" style="23" customWidth="1"/>
    <col min="13825" max="13825" width="14.85546875" style="23" customWidth="1"/>
    <col min="13826" max="13826" width="3.7109375" style="23" customWidth="1"/>
    <col min="13827" max="13827" width="7.85546875" style="23" customWidth="1"/>
    <col min="13828" max="13828" width="3.85546875" style="23" customWidth="1"/>
    <col min="13829" max="13829" width="9" style="23" customWidth="1"/>
    <col min="13830" max="13830" width="3.7109375" style="23" customWidth="1"/>
    <col min="13831" max="13831" width="7.7109375" style="23" customWidth="1"/>
    <col min="13832" max="13832" width="5" style="23" customWidth="1"/>
    <col min="13833" max="13833" width="7.85546875" style="23" customWidth="1"/>
    <col min="13834" max="14075" width="9.140625" style="23"/>
    <col min="14076" max="14076" width="4.28515625" style="23" customWidth="1"/>
    <col min="14077" max="14077" width="13.7109375" style="23" customWidth="1"/>
    <col min="14078" max="14078" width="3.85546875" style="23" customWidth="1"/>
    <col min="14079" max="14079" width="7" style="23" customWidth="1"/>
    <col min="14080" max="14080" width="5.28515625" style="23" customWidth="1"/>
    <col min="14081" max="14081" width="14.85546875" style="23" customWidth="1"/>
    <col min="14082" max="14082" width="3.7109375" style="23" customWidth="1"/>
    <col min="14083" max="14083" width="7.85546875" style="23" customWidth="1"/>
    <col min="14084" max="14084" width="3.85546875" style="23" customWidth="1"/>
    <col min="14085" max="14085" width="9" style="23" customWidth="1"/>
    <col min="14086" max="14086" width="3.7109375" style="23" customWidth="1"/>
    <col min="14087" max="14087" width="7.7109375" style="23" customWidth="1"/>
    <col min="14088" max="14088" width="5" style="23" customWidth="1"/>
    <col min="14089" max="14089" width="7.85546875" style="23" customWidth="1"/>
    <col min="14090" max="14331" width="9.140625" style="23"/>
    <col min="14332" max="14332" width="4.28515625" style="23" customWidth="1"/>
    <col min="14333" max="14333" width="13.7109375" style="23" customWidth="1"/>
    <col min="14334" max="14334" width="3.85546875" style="23" customWidth="1"/>
    <col min="14335" max="14335" width="7" style="23" customWidth="1"/>
    <col min="14336" max="14336" width="5.28515625" style="23" customWidth="1"/>
    <col min="14337" max="14337" width="14.85546875" style="23" customWidth="1"/>
    <col min="14338" max="14338" width="3.7109375" style="23" customWidth="1"/>
    <col min="14339" max="14339" width="7.85546875" style="23" customWidth="1"/>
    <col min="14340" max="14340" width="3.85546875" style="23" customWidth="1"/>
    <col min="14341" max="14341" width="9" style="23" customWidth="1"/>
    <col min="14342" max="14342" width="3.7109375" style="23" customWidth="1"/>
    <col min="14343" max="14343" width="7.7109375" style="23" customWidth="1"/>
    <col min="14344" max="14344" width="5" style="23" customWidth="1"/>
    <col min="14345" max="14345" width="7.85546875" style="23" customWidth="1"/>
    <col min="14346" max="14587" width="9.140625" style="23"/>
    <col min="14588" max="14588" width="4.28515625" style="23" customWidth="1"/>
    <col min="14589" max="14589" width="13.7109375" style="23" customWidth="1"/>
    <col min="14590" max="14590" width="3.85546875" style="23" customWidth="1"/>
    <col min="14591" max="14591" width="7" style="23" customWidth="1"/>
    <col min="14592" max="14592" width="5.28515625" style="23" customWidth="1"/>
    <col min="14593" max="14593" width="14.85546875" style="23" customWidth="1"/>
    <col min="14594" max="14594" width="3.7109375" style="23" customWidth="1"/>
    <col min="14595" max="14595" width="7.85546875" style="23" customWidth="1"/>
    <col min="14596" max="14596" width="3.85546875" style="23" customWidth="1"/>
    <col min="14597" max="14597" width="9" style="23" customWidth="1"/>
    <col min="14598" max="14598" width="3.7109375" style="23" customWidth="1"/>
    <col min="14599" max="14599" width="7.7109375" style="23" customWidth="1"/>
    <col min="14600" max="14600" width="5" style="23" customWidth="1"/>
    <col min="14601" max="14601" width="7.85546875" style="23" customWidth="1"/>
    <col min="14602" max="14843" width="9.140625" style="23"/>
    <col min="14844" max="14844" width="4.28515625" style="23" customWidth="1"/>
    <col min="14845" max="14845" width="13.7109375" style="23" customWidth="1"/>
    <col min="14846" max="14846" width="3.85546875" style="23" customWidth="1"/>
    <col min="14847" max="14847" width="7" style="23" customWidth="1"/>
    <col min="14848" max="14848" width="5.28515625" style="23" customWidth="1"/>
    <col min="14849" max="14849" width="14.85546875" style="23" customWidth="1"/>
    <col min="14850" max="14850" width="3.7109375" style="23" customWidth="1"/>
    <col min="14851" max="14851" width="7.85546875" style="23" customWidth="1"/>
    <col min="14852" max="14852" width="3.85546875" style="23" customWidth="1"/>
    <col min="14853" max="14853" width="9" style="23" customWidth="1"/>
    <col min="14854" max="14854" width="3.7109375" style="23" customWidth="1"/>
    <col min="14855" max="14855" width="7.7109375" style="23" customWidth="1"/>
    <col min="14856" max="14856" width="5" style="23" customWidth="1"/>
    <col min="14857" max="14857" width="7.85546875" style="23" customWidth="1"/>
    <col min="14858" max="15099" width="9.140625" style="23"/>
    <col min="15100" max="15100" width="4.28515625" style="23" customWidth="1"/>
    <col min="15101" max="15101" width="13.7109375" style="23" customWidth="1"/>
    <col min="15102" max="15102" width="3.85546875" style="23" customWidth="1"/>
    <col min="15103" max="15103" width="7" style="23" customWidth="1"/>
    <col min="15104" max="15104" width="5.28515625" style="23" customWidth="1"/>
    <col min="15105" max="15105" width="14.85546875" style="23" customWidth="1"/>
    <col min="15106" max="15106" width="3.7109375" style="23" customWidth="1"/>
    <col min="15107" max="15107" width="7.85546875" style="23" customWidth="1"/>
    <col min="15108" max="15108" width="3.85546875" style="23" customWidth="1"/>
    <col min="15109" max="15109" width="9" style="23" customWidth="1"/>
    <col min="15110" max="15110" width="3.7109375" style="23" customWidth="1"/>
    <col min="15111" max="15111" width="7.7109375" style="23" customWidth="1"/>
    <col min="15112" max="15112" width="5" style="23" customWidth="1"/>
    <col min="15113" max="15113" width="7.85546875" style="23" customWidth="1"/>
    <col min="15114" max="15355" width="9.140625" style="23"/>
    <col min="15356" max="15356" width="4.28515625" style="23" customWidth="1"/>
    <col min="15357" max="15357" width="13.7109375" style="23" customWidth="1"/>
    <col min="15358" max="15358" width="3.85546875" style="23" customWidth="1"/>
    <col min="15359" max="15359" width="7" style="23" customWidth="1"/>
    <col min="15360" max="15360" width="5.28515625" style="23" customWidth="1"/>
    <col min="15361" max="15361" width="14.85546875" style="23" customWidth="1"/>
    <col min="15362" max="15362" width="3.7109375" style="23" customWidth="1"/>
    <col min="15363" max="15363" width="7.85546875" style="23" customWidth="1"/>
    <col min="15364" max="15364" width="3.85546875" style="23" customWidth="1"/>
    <col min="15365" max="15365" width="9" style="23" customWidth="1"/>
    <col min="15366" max="15366" width="3.7109375" style="23" customWidth="1"/>
    <col min="15367" max="15367" width="7.7109375" style="23" customWidth="1"/>
    <col min="15368" max="15368" width="5" style="23" customWidth="1"/>
    <col min="15369" max="15369" width="7.85546875" style="23" customWidth="1"/>
    <col min="15370" max="15611" width="9.140625" style="23"/>
    <col min="15612" max="15612" width="4.28515625" style="23" customWidth="1"/>
    <col min="15613" max="15613" width="13.7109375" style="23" customWidth="1"/>
    <col min="15614" max="15614" width="3.85546875" style="23" customWidth="1"/>
    <col min="15615" max="15615" width="7" style="23" customWidth="1"/>
    <col min="15616" max="15616" width="5.28515625" style="23" customWidth="1"/>
    <col min="15617" max="15617" width="14.85546875" style="23" customWidth="1"/>
    <col min="15618" max="15618" width="3.7109375" style="23" customWidth="1"/>
    <col min="15619" max="15619" width="7.85546875" style="23" customWidth="1"/>
    <col min="15620" max="15620" width="3.85546875" style="23" customWidth="1"/>
    <col min="15621" max="15621" width="9" style="23" customWidth="1"/>
    <col min="15622" max="15622" width="3.7109375" style="23" customWidth="1"/>
    <col min="15623" max="15623" width="7.7109375" style="23" customWidth="1"/>
    <col min="15624" max="15624" width="5" style="23" customWidth="1"/>
    <col min="15625" max="15625" width="7.85546875" style="23" customWidth="1"/>
    <col min="15626" max="15867" width="9.140625" style="23"/>
    <col min="15868" max="15868" width="4.28515625" style="23" customWidth="1"/>
    <col min="15869" max="15869" width="13.7109375" style="23" customWidth="1"/>
    <col min="15870" max="15870" width="3.85546875" style="23" customWidth="1"/>
    <col min="15871" max="15871" width="7" style="23" customWidth="1"/>
    <col min="15872" max="15872" width="5.28515625" style="23" customWidth="1"/>
    <col min="15873" max="15873" width="14.85546875" style="23" customWidth="1"/>
    <col min="15874" max="15874" width="3.7109375" style="23" customWidth="1"/>
    <col min="15875" max="15875" width="7.85546875" style="23" customWidth="1"/>
    <col min="15876" max="15876" width="3.85546875" style="23" customWidth="1"/>
    <col min="15877" max="15877" width="9" style="23" customWidth="1"/>
    <col min="15878" max="15878" width="3.7109375" style="23" customWidth="1"/>
    <col min="15879" max="15879" width="7.7109375" style="23" customWidth="1"/>
    <col min="15880" max="15880" width="5" style="23" customWidth="1"/>
    <col min="15881" max="15881" width="7.85546875" style="23" customWidth="1"/>
    <col min="15882" max="16123" width="9.140625" style="23"/>
    <col min="16124" max="16124" width="4.28515625" style="23" customWidth="1"/>
    <col min="16125" max="16125" width="13.7109375" style="23" customWidth="1"/>
    <col min="16126" max="16126" width="3.85546875" style="23" customWidth="1"/>
    <col min="16127" max="16127" width="7" style="23" customWidth="1"/>
    <col min="16128" max="16128" width="5.28515625" style="23" customWidth="1"/>
    <col min="16129" max="16129" width="14.85546875" style="23" customWidth="1"/>
    <col min="16130" max="16130" width="3.7109375" style="23" customWidth="1"/>
    <col min="16131" max="16131" width="7.85546875" style="23" customWidth="1"/>
    <col min="16132" max="16132" width="3.85546875" style="23" customWidth="1"/>
    <col min="16133" max="16133" width="9" style="23" customWidth="1"/>
    <col min="16134" max="16134" width="3.7109375" style="23" customWidth="1"/>
    <col min="16135" max="16135" width="7.7109375" style="23" customWidth="1"/>
    <col min="16136" max="16136" width="5" style="23" customWidth="1"/>
    <col min="16137" max="16137" width="7.85546875" style="23" customWidth="1"/>
    <col min="16138" max="16384" width="9.140625" style="23"/>
  </cols>
  <sheetData>
    <row r="1" spans="1:16" ht="15" customHeight="1">
      <c r="A1" s="432" t="s">
        <v>269</v>
      </c>
      <c r="B1" s="432"/>
    </row>
    <row r="2" spans="1:16" ht="15" customHeight="1" thickBot="1">
      <c r="D2" s="433" t="s">
        <v>277</v>
      </c>
      <c r="E2" s="434"/>
      <c r="F2" s="434"/>
      <c r="G2" s="434"/>
      <c r="H2" s="434"/>
      <c r="I2" s="434"/>
      <c r="J2" s="434"/>
    </row>
    <row r="3" spans="1:16" ht="12" customHeight="1" thickTop="1">
      <c r="A3" s="40">
        <v>2</v>
      </c>
      <c r="B3" s="24" t="s">
        <v>153</v>
      </c>
    </row>
    <row r="4" spans="1:16" ht="12" customHeight="1" thickBot="1">
      <c r="A4" s="41" t="s">
        <v>183</v>
      </c>
      <c r="B4" s="25" t="s">
        <v>154</v>
      </c>
    </row>
    <row r="5" spans="1:16" ht="30.75" customHeight="1" thickTop="1" thickBot="1">
      <c r="A5" s="26" t="s">
        <v>155</v>
      </c>
      <c r="B5" s="466" t="str">
        <f>'准單(紅紙)-2份'!C6</f>
        <v>大佑輪</v>
      </c>
      <c r="C5" s="467"/>
      <c r="D5" s="468"/>
      <c r="E5" s="27" t="s">
        <v>156</v>
      </c>
      <c r="F5" s="28" t="str">
        <f>進口艙單印1份!L3</f>
        <v>15PAHD</v>
      </c>
      <c r="G5" s="29" t="s">
        <v>157</v>
      </c>
      <c r="H5" s="43" t="str">
        <f>進口艙單印1份!B16</f>
        <v>5501</v>
      </c>
      <c r="I5" s="29" t="s">
        <v>158</v>
      </c>
      <c r="J5" s="458" t="str">
        <f>進口艙單印1份!O16</f>
        <v>JET-F WORLDWIDE EXPRESS CO., LTD.</v>
      </c>
      <c r="K5" s="469"/>
      <c r="L5" s="459"/>
      <c r="M5" s="29" t="s">
        <v>159</v>
      </c>
      <c r="N5" s="47">
        <f>進口艙單印1份!C16</f>
        <v>1599</v>
      </c>
    </row>
    <row r="6" spans="1:16" ht="33" customHeight="1" thickBot="1">
      <c r="A6" s="31" t="s">
        <v>160</v>
      </c>
      <c r="B6" s="32" t="s">
        <v>184</v>
      </c>
      <c r="C6" s="29" t="s">
        <v>161</v>
      </c>
      <c r="D6" s="33"/>
      <c r="E6" s="33" t="s">
        <v>162</v>
      </c>
      <c r="F6" s="34" t="str">
        <f>'准單(紅紙)-2份'!C10</f>
        <v>KHH0638S</v>
      </c>
      <c r="G6" s="29" t="s">
        <v>163</v>
      </c>
      <c r="H6" s="35"/>
      <c r="I6" s="29" t="s">
        <v>164</v>
      </c>
      <c r="J6" s="30"/>
      <c r="K6" s="29" t="s">
        <v>165</v>
      </c>
      <c r="L6" s="36"/>
      <c r="M6" s="29" t="s">
        <v>166</v>
      </c>
      <c r="N6" s="48">
        <f>N5</f>
        <v>1599</v>
      </c>
    </row>
    <row r="7" spans="1:16" ht="12" customHeight="1" thickBot="1">
      <c r="A7" s="470" t="s">
        <v>167</v>
      </c>
      <c r="B7" s="471"/>
      <c r="C7" s="471"/>
      <c r="D7" s="471"/>
      <c r="E7" s="471"/>
      <c r="F7" s="472"/>
      <c r="G7" s="470" t="s">
        <v>168</v>
      </c>
      <c r="H7" s="471"/>
      <c r="I7" s="471"/>
      <c r="J7" s="471"/>
      <c r="K7" s="471"/>
      <c r="L7" s="471"/>
      <c r="M7" s="471"/>
      <c r="N7" s="472"/>
    </row>
    <row r="8" spans="1:16" ht="12.75" customHeight="1" thickBot="1">
      <c r="A8" s="437" t="s">
        <v>169</v>
      </c>
      <c r="B8" s="473"/>
      <c r="C8" s="438"/>
      <c r="D8" s="437" t="s">
        <v>170</v>
      </c>
      <c r="E8" s="473"/>
      <c r="F8" s="438"/>
      <c r="G8" s="437" t="s">
        <v>171</v>
      </c>
      <c r="H8" s="438"/>
      <c r="I8" s="437" t="s">
        <v>172</v>
      </c>
      <c r="J8" s="438"/>
      <c r="K8" s="437" t="s">
        <v>173</v>
      </c>
      <c r="L8" s="438"/>
      <c r="M8" s="437" t="s">
        <v>174</v>
      </c>
      <c r="N8" s="438"/>
    </row>
    <row r="9" spans="1:16" ht="24" customHeight="1">
      <c r="A9" s="439" t="str">
        <f>進口艙單印1份!E16</f>
        <v>TCNU9125529</v>
      </c>
      <c r="B9" s="440"/>
      <c r="C9" s="441"/>
      <c r="D9" s="460">
        <f>進口艙單印1份!P16</f>
        <v>200405</v>
      </c>
      <c r="E9" s="461"/>
      <c r="F9" s="462"/>
      <c r="G9" s="451"/>
      <c r="H9" s="452"/>
      <c r="I9" s="451"/>
      <c r="J9" s="452"/>
      <c r="K9" s="451"/>
      <c r="L9" s="452"/>
      <c r="M9" s="451"/>
      <c r="N9" s="452"/>
      <c r="P9" s="37"/>
    </row>
    <row r="10" spans="1:16" ht="33.75" customHeight="1" thickBot="1">
      <c r="A10" s="442"/>
      <c r="B10" s="443"/>
      <c r="C10" s="444"/>
      <c r="D10" s="463" t="str">
        <f>'貨櫃清單-1份'!J9</f>
        <v>ESN888</v>
      </c>
      <c r="E10" s="464"/>
      <c r="F10" s="465"/>
      <c r="G10" s="453"/>
      <c r="H10" s="454"/>
      <c r="I10" s="453"/>
      <c r="J10" s="454"/>
      <c r="K10" s="453"/>
      <c r="L10" s="454"/>
      <c r="M10" s="453"/>
      <c r="N10" s="454"/>
      <c r="P10" s="37"/>
    </row>
    <row r="11" spans="1:16" ht="42" customHeight="1" thickBot="1">
      <c r="A11" s="445"/>
      <c r="B11" s="446"/>
      <c r="C11" s="447"/>
      <c r="D11" s="437" t="s">
        <v>175</v>
      </c>
      <c r="E11" s="438"/>
      <c r="F11" s="27" t="s">
        <v>176</v>
      </c>
      <c r="G11" s="437" t="s">
        <v>177</v>
      </c>
      <c r="H11" s="438"/>
      <c r="I11" s="437" t="s">
        <v>178</v>
      </c>
      <c r="J11" s="438"/>
      <c r="K11" s="437" t="s">
        <v>179</v>
      </c>
      <c r="L11" s="438"/>
      <c r="M11" s="437" t="s">
        <v>180</v>
      </c>
      <c r="N11" s="438"/>
    </row>
    <row r="12" spans="1:16" ht="49.5" customHeight="1" thickBot="1">
      <c r="A12" s="38" t="s">
        <v>181</v>
      </c>
      <c r="B12" s="437"/>
      <c r="C12" s="438"/>
      <c r="D12" s="458"/>
      <c r="E12" s="459"/>
      <c r="F12" s="28"/>
      <c r="G12" s="458"/>
      <c r="H12" s="459"/>
      <c r="I12" s="458"/>
      <c r="J12" s="459"/>
      <c r="K12" s="458"/>
      <c r="L12" s="459"/>
      <c r="M12" s="458"/>
      <c r="N12" s="459"/>
    </row>
    <row r="13" spans="1:16" ht="23.25" customHeight="1">
      <c r="A13" s="435" t="s">
        <v>271</v>
      </c>
      <c r="B13" s="435"/>
      <c r="C13" s="435"/>
      <c r="D13" s="435"/>
      <c r="E13" s="435"/>
      <c r="F13" s="435"/>
    </row>
    <row r="14" spans="1:16" ht="9" customHeight="1">
      <c r="A14" s="436" t="s">
        <v>272</v>
      </c>
      <c r="B14" s="436"/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</row>
    <row r="15" spans="1:16" ht="15" customHeight="1">
      <c r="A15" s="432" t="s">
        <v>270</v>
      </c>
      <c r="B15" s="432"/>
    </row>
    <row r="16" spans="1:16" ht="15" customHeight="1" thickBot="1">
      <c r="D16" s="433" t="s">
        <v>277</v>
      </c>
      <c r="E16" s="434"/>
      <c r="F16" s="434"/>
      <c r="G16" s="434"/>
      <c r="H16" s="434"/>
      <c r="I16" s="434"/>
      <c r="J16" s="434"/>
    </row>
    <row r="17" spans="1:14" ht="12" customHeight="1" thickTop="1">
      <c r="A17" s="40">
        <v>2</v>
      </c>
      <c r="B17" s="24" t="s">
        <v>153</v>
      </c>
    </row>
    <row r="18" spans="1:14" ht="12" customHeight="1" thickBot="1">
      <c r="A18" s="41" t="s">
        <v>183</v>
      </c>
      <c r="B18" s="25" t="s">
        <v>154</v>
      </c>
    </row>
    <row r="19" spans="1:14" ht="30.75" customHeight="1" thickTop="1" thickBot="1">
      <c r="A19" s="31" t="s">
        <v>182</v>
      </c>
      <c r="B19" s="466" t="str">
        <f>B5</f>
        <v>大佑輪</v>
      </c>
      <c r="C19" s="467"/>
      <c r="D19" s="468"/>
      <c r="E19" s="27" t="s">
        <v>156</v>
      </c>
      <c r="F19" s="28" t="str">
        <f>F5</f>
        <v>15PAHD</v>
      </c>
      <c r="G19" s="29" t="s">
        <v>157</v>
      </c>
      <c r="H19" s="42" t="str">
        <f>H5</f>
        <v>5501</v>
      </c>
      <c r="I19" s="29" t="s">
        <v>158</v>
      </c>
      <c r="J19" s="458" t="str">
        <f>J5</f>
        <v>JET-F WORLDWIDE EXPRESS CO., LTD.</v>
      </c>
      <c r="K19" s="469"/>
      <c r="L19" s="459"/>
      <c r="M19" s="29" t="s">
        <v>159</v>
      </c>
      <c r="N19" s="47">
        <f>N5</f>
        <v>1599</v>
      </c>
    </row>
    <row r="20" spans="1:14" ht="33" customHeight="1" thickBot="1">
      <c r="A20" s="31" t="s">
        <v>160</v>
      </c>
      <c r="B20" s="32" t="str">
        <f>B6</f>
        <v>KNH0010W
金門料羅</v>
      </c>
      <c r="C20" s="29" t="s">
        <v>161</v>
      </c>
      <c r="D20" s="39"/>
      <c r="E20" s="33" t="s">
        <v>162</v>
      </c>
      <c r="F20" s="34" t="str">
        <f>F6</f>
        <v>KHH0638S</v>
      </c>
      <c r="G20" s="29" t="s">
        <v>163</v>
      </c>
      <c r="H20" s="28"/>
      <c r="I20" s="29" t="s">
        <v>164</v>
      </c>
      <c r="J20" s="36"/>
      <c r="K20" s="29" t="s">
        <v>165</v>
      </c>
      <c r="L20" s="36"/>
      <c r="M20" s="29" t="s">
        <v>166</v>
      </c>
      <c r="N20" s="48">
        <f>N6</f>
        <v>1599</v>
      </c>
    </row>
    <row r="21" spans="1:14" ht="12" customHeight="1" thickBot="1">
      <c r="A21" s="470" t="s">
        <v>167</v>
      </c>
      <c r="B21" s="471"/>
      <c r="C21" s="471"/>
      <c r="D21" s="471"/>
      <c r="E21" s="471"/>
      <c r="F21" s="472"/>
      <c r="G21" s="470" t="s">
        <v>168</v>
      </c>
      <c r="H21" s="471"/>
      <c r="I21" s="471"/>
      <c r="J21" s="471"/>
      <c r="K21" s="471"/>
      <c r="L21" s="471"/>
      <c r="M21" s="471"/>
      <c r="N21" s="472"/>
    </row>
    <row r="22" spans="1:14" ht="12.75" customHeight="1" thickBot="1">
      <c r="A22" s="437" t="s">
        <v>169</v>
      </c>
      <c r="B22" s="473"/>
      <c r="C22" s="438"/>
      <c r="D22" s="437" t="s">
        <v>170</v>
      </c>
      <c r="E22" s="473"/>
      <c r="F22" s="438"/>
      <c r="G22" s="437" t="s">
        <v>171</v>
      </c>
      <c r="H22" s="438"/>
      <c r="I22" s="437" t="s">
        <v>172</v>
      </c>
      <c r="J22" s="438"/>
      <c r="K22" s="437" t="s">
        <v>173</v>
      </c>
      <c r="L22" s="438"/>
      <c r="M22" s="437" t="s">
        <v>174</v>
      </c>
      <c r="N22" s="438"/>
    </row>
    <row r="23" spans="1:14" ht="24" customHeight="1">
      <c r="A23" s="439" t="str">
        <f>A9</f>
        <v>TCNU9125529</v>
      </c>
      <c r="B23" s="440"/>
      <c r="C23" s="441"/>
      <c r="D23" s="448">
        <f>D9</f>
        <v>200405</v>
      </c>
      <c r="E23" s="449"/>
      <c r="F23" s="450"/>
      <c r="G23" s="451"/>
      <c r="H23" s="452"/>
      <c r="I23" s="451"/>
      <c r="J23" s="452"/>
      <c r="K23" s="451"/>
      <c r="L23" s="452"/>
      <c r="M23" s="451"/>
      <c r="N23" s="452"/>
    </row>
    <row r="24" spans="1:14" ht="33.75" customHeight="1" thickBot="1">
      <c r="A24" s="442"/>
      <c r="B24" s="443"/>
      <c r="C24" s="444"/>
      <c r="D24" s="455" t="str">
        <f>D10</f>
        <v>ESN888</v>
      </c>
      <c r="E24" s="456"/>
      <c r="F24" s="457"/>
      <c r="G24" s="453"/>
      <c r="H24" s="454"/>
      <c r="I24" s="453"/>
      <c r="J24" s="454"/>
      <c r="K24" s="453"/>
      <c r="L24" s="454"/>
      <c r="M24" s="453"/>
      <c r="N24" s="454"/>
    </row>
    <row r="25" spans="1:14" ht="42" customHeight="1" thickBot="1">
      <c r="A25" s="445"/>
      <c r="B25" s="446"/>
      <c r="C25" s="447"/>
      <c r="D25" s="437" t="s">
        <v>175</v>
      </c>
      <c r="E25" s="438"/>
      <c r="F25" s="27" t="s">
        <v>176</v>
      </c>
      <c r="G25" s="437" t="s">
        <v>177</v>
      </c>
      <c r="H25" s="438"/>
      <c r="I25" s="437" t="s">
        <v>178</v>
      </c>
      <c r="J25" s="438"/>
      <c r="K25" s="437" t="s">
        <v>179</v>
      </c>
      <c r="L25" s="438"/>
      <c r="M25" s="437" t="s">
        <v>180</v>
      </c>
      <c r="N25" s="438"/>
    </row>
    <row r="26" spans="1:14" ht="49.5" customHeight="1" thickBot="1">
      <c r="A26" s="38" t="s">
        <v>181</v>
      </c>
      <c r="B26" s="437"/>
      <c r="C26" s="438"/>
      <c r="D26" s="437"/>
      <c r="E26" s="438"/>
      <c r="F26" s="27"/>
      <c r="G26" s="437"/>
      <c r="H26" s="438"/>
      <c r="I26" s="437"/>
      <c r="J26" s="438"/>
      <c r="K26" s="437"/>
      <c r="L26" s="438"/>
      <c r="M26" s="437"/>
      <c r="N26" s="438"/>
    </row>
    <row r="27" spans="1:14" ht="23.25" customHeight="1">
      <c r="A27" s="435" t="s">
        <v>271</v>
      </c>
      <c r="B27" s="435"/>
      <c r="C27" s="435"/>
      <c r="D27" s="435"/>
      <c r="E27" s="435"/>
      <c r="F27" s="435"/>
    </row>
    <row r="28" spans="1:14" s="169" customFormat="1" ht="9" customHeight="1">
      <c r="A28" s="436" t="s">
        <v>272</v>
      </c>
      <c r="B28" s="436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</row>
    <row r="29" spans="1:14" ht="15" customHeight="1">
      <c r="A29" s="431" t="s">
        <v>276</v>
      </c>
      <c r="B29" s="432"/>
    </row>
    <row r="30" spans="1:14" ht="15" customHeight="1" thickBot="1">
      <c r="D30" s="433" t="s">
        <v>277</v>
      </c>
      <c r="E30" s="434"/>
      <c r="F30" s="434"/>
      <c r="G30" s="434"/>
      <c r="H30" s="434"/>
      <c r="I30" s="434"/>
      <c r="J30" s="434"/>
    </row>
    <row r="31" spans="1:14" ht="12" customHeight="1" thickTop="1">
      <c r="A31" s="40">
        <v>2</v>
      </c>
      <c r="B31" s="24" t="s">
        <v>153</v>
      </c>
    </row>
    <row r="32" spans="1:14" ht="12" customHeight="1" thickBot="1">
      <c r="A32" s="41" t="s">
        <v>183</v>
      </c>
      <c r="B32" s="25" t="s">
        <v>154</v>
      </c>
    </row>
    <row r="33" spans="1:14" ht="30.75" customHeight="1" thickTop="1" thickBot="1">
      <c r="A33" s="31" t="s">
        <v>182</v>
      </c>
      <c r="B33" s="466" t="str">
        <f>B5</f>
        <v>大佑輪</v>
      </c>
      <c r="C33" s="467"/>
      <c r="D33" s="468"/>
      <c r="E33" s="27" t="s">
        <v>156</v>
      </c>
      <c r="F33" s="28" t="str">
        <f>F5</f>
        <v>15PAHD</v>
      </c>
      <c r="G33" s="29" t="s">
        <v>157</v>
      </c>
      <c r="H33" s="42" t="str">
        <f>H5</f>
        <v>5501</v>
      </c>
      <c r="I33" s="29" t="s">
        <v>158</v>
      </c>
      <c r="J33" s="458" t="str">
        <f>J5</f>
        <v>JET-F WORLDWIDE EXPRESS CO., LTD.</v>
      </c>
      <c r="K33" s="469"/>
      <c r="L33" s="459"/>
      <c r="M33" s="29" t="s">
        <v>159</v>
      </c>
      <c r="N33" s="47">
        <f>N5</f>
        <v>1599</v>
      </c>
    </row>
    <row r="34" spans="1:14" ht="33" customHeight="1" thickBot="1">
      <c r="A34" s="31" t="s">
        <v>160</v>
      </c>
      <c r="B34" s="32" t="str">
        <f>B6</f>
        <v>KNH0010W
金門料羅</v>
      </c>
      <c r="C34" s="29" t="s">
        <v>161</v>
      </c>
      <c r="D34" s="39"/>
      <c r="E34" s="33" t="s">
        <v>162</v>
      </c>
      <c r="F34" s="34" t="str">
        <f>F6</f>
        <v>KHH0638S</v>
      </c>
      <c r="G34" s="29" t="s">
        <v>163</v>
      </c>
      <c r="H34" s="35"/>
      <c r="I34" s="29" t="s">
        <v>164</v>
      </c>
      <c r="J34" s="30"/>
      <c r="K34" s="29" t="s">
        <v>165</v>
      </c>
      <c r="L34" s="36"/>
      <c r="M34" s="29" t="s">
        <v>166</v>
      </c>
      <c r="N34" s="48">
        <f>N6</f>
        <v>1599</v>
      </c>
    </row>
    <row r="35" spans="1:14" ht="12" customHeight="1" thickBot="1">
      <c r="A35" s="470" t="s">
        <v>167</v>
      </c>
      <c r="B35" s="471"/>
      <c r="C35" s="471"/>
      <c r="D35" s="471"/>
      <c r="E35" s="471"/>
      <c r="F35" s="472"/>
      <c r="G35" s="470" t="s">
        <v>168</v>
      </c>
      <c r="H35" s="471"/>
      <c r="I35" s="471"/>
      <c r="J35" s="471"/>
      <c r="K35" s="471"/>
      <c r="L35" s="471"/>
      <c r="M35" s="471"/>
      <c r="N35" s="472"/>
    </row>
    <row r="36" spans="1:14" ht="12.75" customHeight="1" thickBot="1">
      <c r="A36" s="437" t="s">
        <v>169</v>
      </c>
      <c r="B36" s="473"/>
      <c r="C36" s="438"/>
      <c r="D36" s="437" t="s">
        <v>170</v>
      </c>
      <c r="E36" s="473"/>
      <c r="F36" s="438"/>
      <c r="G36" s="437" t="s">
        <v>171</v>
      </c>
      <c r="H36" s="438"/>
      <c r="I36" s="437" t="s">
        <v>172</v>
      </c>
      <c r="J36" s="438"/>
      <c r="K36" s="437" t="s">
        <v>173</v>
      </c>
      <c r="L36" s="438"/>
      <c r="M36" s="437" t="s">
        <v>174</v>
      </c>
      <c r="N36" s="438"/>
    </row>
    <row r="37" spans="1:14" ht="18" customHeight="1">
      <c r="A37" s="439" t="str">
        <f>A9</f>
        <v>TCNU9125529</v>
      </c>
      <c r="B37" s="440"/>
      <c r="C37" s="441"/>
      <c r="D37" s="448">
        <f>D9</f>
        <v>200405</v>
      </c>
      <c r="E37" s="449"/>
      <c r="F37" s="450"/>
      <c r="G37" s="451"/>
      <c r="H37" s="452"/>
      <c r="I37" s="451"/>
      <c r="J37" s="452"/>
      <c r="K37" s="451"/>
      <c r="L37" s="452"/>
      <c r="M37" s="451"/>
      <c r="N37" s="452"/>
    </row>
    <row r="38" spans="1:14" ht="33.75" customHeight="1" thickBot="1">
      <c r="A38" s="442"/>
      <c r="B38" s="443"/>
      <c r="C38" s="444"/>
      <c r="D38" s="455" t="str">
        <f>D10</f>
        <v>ESN888</v>
      </c>
      <c r="E38" s="456"/>
      <c r="F38" s="457"/>
      <c r="G38" s="453"/>
      <c r="H38" s="454"/>
      <c r="I38" s="453"/>
      <c r="J38" s="454"/>
      <c r="K38" s="453"/>
      <c r="L38" s="454"/>
      <c r="M38" s="453"/>
      <c r="N38" s="454"/>
    </row>
    <row r="39" spans="1:14" ht="42" customHeight="1" thickBot="1">
      <c r="A39" s="445"/>
      <c r="B39" s="446"/>
      <c r="C39" s="447"/>
      <c r="D39" s="437" t="s">
        <v>175</v>
      </c>
      <c r="E39" s="438"/>
      <c r="F39" s="27" t="s">
        <v>176</v>
      </c>
      <c r="G39" s="437" t="s">
        <v>177</v>
      </c>
      <c r="H39" s="438"/>
      <c r="I39" s="437" t="s">
        <v>178</v>
      </c>
      <c r="J39" s="438"/>
      <c r="K39" s="437" t="s">
        <v>179</v>
      </c>
      <c r="L39" s="438"/>
      <c r="M39" s="437" t="s">
        <v>180</v>
      </c>
      <c r="N39" s="438"/>
    </row>
    <row r="40" spans="1:14" ht="49.5" customHeight="1" thickBot="1">
      <c r="A40" s="38" t="s">
        <v>181</v>
      </c>
      <c r="B40" s="437"/>
      <c r="C40" s="438"/>
      <c r="D40" s="437"/>
      <c r="E40" s="438"/>
      <c r="F40" s="27"/>
      <c r="G40" s="437"/>
      <c r="H40" s="438"/>
      <c r="I40" s="437"/>
      <c r="J40" s="438"/>
      <c r="K40" s="437"/>
      <c r="L40" s="438"/>
      <c r="M40" s="437"/>
      <c r="N40" s="438"/>
    </row>
    <row r="41" spans="1:14" ht="23.25" customHeight="1">
      <c r="A41" s="435" t="s">
        <v>271</v>
      </c>
      <c r="B41" s="435"/>
      <c r="C41" s="435"/>
      <c r="D41" s="435"/>
      <c r="E41" s="435"/>
      <c r="F41" s="435"/>
    </row>
  </sheetData>
  <sheetProtection selectLockedCells="1"/>
  <mergeCells count="95">
    <mergeCell ref="M11:N11"/>
    <mergeCell ref="B5:D5"/>
    <mergeCell ref="J5:L5"/>
    <mergeCell ref="A7:F7"/>
    <mergeCell ref="G7:N7"/>
    <mergeCell ref="A8:C8"/>
    <mergeCell ref="D8:F8"/>
    <mergeCell ref="G8:H8"/>
    <mergeCell ref="I8:J8"/>
    <mergeCell ref="K8:L8"/>
    <mergeCell ref="M8:N8"/>
    <mergeCell ref="D12:E12"/>
    <mergeCell ref="G12:H12"/>
    <mergeCell ref="I12:J12"/>
    <mergeCell ref="K12:L12"/>
    <mergeCell ref="G11:H11"/>
    <mergeCell ref="I11:J11"/>
    <mergeCell ref="K11:L11"/>
    <mergeCell ref="I25:J25"/>
    <mergeCell ref="B19:D19"/>
    <mergeCell ref="J19:L19"/>
    <mergeCell ref="A21:F21"/>
    <mergeCell ref="G21:N21"/>
    <mergeCell ref="A22:C22"/>
    <mergeCell ref="D22:F22"/>
    <mergeCell ref="G22:H22"/>
    <mergeCell ref="I22:J22"/>
    <mergeCell ref="K22:L22"/>
    <mergeCell ref="M22:N22"/>
    <mergeCell ref="K25:L25"/>
    <mergeCell ref="M25:N25"/>
    <mergeCell ref="M39:N39"/>
    <mergeCell ref="M26:N26"/>
    <mergeCell ref="A23:C25"/>
    <mergeCell ref="D23:F23"/>
    <mergeCell ref="G23:H24"/>
    <mergeCell ref="I23:J24"/>
    <mergeCell ref="K23:L24"/>
    <mergeCell ref="M23:N24"/>
    <mergeCell ref="D24:F24"/>
    <mergeCell ref="D25:E25"/>
    <mergeCell ref="B26:C26"/>
    <mergeCell ref="D26:E26"/>
    <mergeCell ref="G26:H26"/>
    <mergeCell ref="I26:J26"/>
    <mergeCell ref="K26:L26"/>
    <mergeCell ref="G25:H25"/>
    <mergeCell ref="B33:D33"/>
    <mergeCell ref="J33:L33"/>
    <mergeCell ref="A35:F35"/>
    <mergeCell ref="G35:N35"/>
    <mergeCell ref="A36:C36"/>
    <mergeCell ref="D36:F36"/>
    <mergeCell ref="G36:H36"/>
    <mergeCell ref="I36:J36"/>
    <mergeCell ref="K36:L36"/>
    <mergeCell ref="M36:N36"/>
    <mergeCell ref="G40:H40"/>
    <mergeCell ref="I40:J40"/>
    <mergeCell ref="K40:L40"/>
    <mergeCell ref="G39:H39"/>
    <mergeCell ref="I39:J39"/>
    <mergeCell ref="K39:L39"/>
    <mergeCell ref="A1:B1"/>
    <mergeCell ref="A15:B15"/>
    <mergeCell ref="D16:J16"/>
    <mergeCell ref="D2:J2"/>
    <mergeCell ref="A13:F13"/>
    <mergeCell ref="A14:N14"/>
    <mergeCell ref="M12:N12"/>
    <mergeCell ref="A9:C11"/>
    <mergeCell ref="D9:F9"/>
    <mergeCell ref="G9:H10"/>
    <mergeCell ref="I9:J10"/>
    <mergeCell ref="K9:L10"/>
    <mergeCell ref="M9:N10"/>
    <mergeCell ref="D10:F10"/>
    <mergeCell ref="D11:E11"/>
    <mergeCell ref="B12:C12"/>
    <mergeCell ref="A29:B29"/>
    <mergeCell ref="D30:J30"/>
    <mergeCell ref="A27:F27"/>
    <mergeCell ref="A41:F41"/>
    <mergeCell ref="A28:N28"/>
    <mergeCell ref="M40:N40"/>
    <mergeCell ref="A37:C39"/>
    <mergeCell ref="D37:F37"/>
    <mergeCell ref="G37:H38"/>
    <mergeCell ref="I37:J38"/>
    <mergeCell ref="K37:L38"/>
    <mergeCell ref="M37:N38"/>
    <mergeCell ref="D38:F38"/>
    <mergeCell ref="D39:E39"/>
    <mergeCell ref="B40:C40"/>
    <mergeCell ref="D40:E40"/>
  </mergeCells>
  <phoneticPr fontId="3" type="noConversion"/>
  <printOptions horizontalCentered="1" verticalCentered="1"/>
  <pageMargins left="0.27559055118110237" right="0.74803149606299213" top="0.39370078740157483" bottom="0.19685039370078741" header="0.39370078740157483" footer="0.51181102362204722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6</vt:i4>
      </vt:variant>
    </vt:vector>
  </HeadingPairs>
  <TitlesOfParts>
    <vt:vector size="13" baseType="lpstr">
      <vt:lpstr>建船資料檔</vt:lpstr>
      <vt:lpstr>進口艙單印1份</vt:lpstr>
      <vt:lpstr>T1快遞貨物訊息</vt:lpstr>
      <vt:lpstr>准單(紅紙)-2份</vt:lpstr>
      <vt:lpstr>准單申請-1份 </vt:lpstr>
      <vt:lpstr>貨櫃清單-1份</vt:lpstr>
      <vt:lpstr>運送第1筆</vt:lpstr>
      <vt:lpstr>運送第1筆!OLE_LINK6</vt:lpstr>
      <vt:lpstr>'准單(紅紙)-2份'!Print_Area</vt:lpstr>
      <vt:lpstr>'准單申請-1份 '!Print_Area</vt:lpstr>
      <vt:lpstr>'貨櫃清單-1份'!Print_Area</vt:lpstr>
      <vt:lpstr>進口艙單印1份!Print_Area</vt:lpstr>
      <vt:lpstr>運送第1筆!Print_Area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2026-10-06T05:06:29Z</dcterms:modified>
</cp:coreProperties>
</file>